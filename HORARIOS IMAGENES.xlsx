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" sheetId="1" r:id="rId5"/>
  </sheets>
  <definedNames/>
  <calcPr/>
</workbook>
</file>

<file path=xl/sharedStrings.xml><?xml version="1.0" encoding="utf-8"?>
<sst xmlns="http://schemas.openxmlformats.org/spreadsheetml/2006/main" count="125" uniqueCount="80">
  <si>
    <t>SISTEMA DE GESTIÓN DE CALIDAD</t>
  </si>
  <si>
    <t>Código: FO-GTH-41</t>
  </si>
  <si>
    <t>PROCESO DE ORIGEN: GESTIÓN DEL TALENTO HUMANO</t>
  </si>
  <si>
    <t>Versión: 01</t>
  </si>
  <si>
    <t>FORMATO DE PROGRAMACION DE TURNO</t>
  </si>
  <si>
    <t>Fecha de Emisión: 05-08-2025
 Fecha de Actualización:</t>
  </si>
  <si>
    <t>MES</t>
  </si>
  <si>
    <t>MARZO</t>
  </si>
  <si>
    <t>UNIDAD/SERVICIO</t>
  </si>
  <si>
    <t>TOTAL HORAS MAXIMO MES</t>
  </si>
  <si>
    <t>AÑO</t>
  </si>
  <si>
    <t>RESUMEN RECARGOS MARZO</t>
  </si>
  <si>
    <t>NOMBRES Y APELLIDOS</t>
  </si>
  <si>
    <t>IDENTIFICACION</t>
  </si>
  <si>
    <t>CARGO</t>
  </si>
  <si>
    <t>SEXO</t>
  </si>
  <si>
    <t>TURNOS</t>
  </si>
  <si>
    <t>HORAS</t>
  </si>
  <si>
    <t>DIFERENCIA</t>
  </si>
  <si>
    <t>OBSERVACIONES</t>
  </si>
  <si>
    <t>EMPLEADO</t>
  </si>
  <si>
    <t>HORAS EXTRAS</t>
  </si>
  <si>
    <t>RECARGOS NOCTURNOS</t>
  </si>
  <si>
    <t>DOM/FEST DIURNOS</t>
  </si>
  <si>
    <t>DOM/FEST NOCTURNOS</t>
  </si>
  <si>
    <t>TOTAL RECARGOS</t>
  </si>
  <si>
    <t>TOTAL ESTIMADO</t>
  </si>
  <si>
    <t>D</t>
  </si>
  <si>
    <t>L</t>
  </si>
  <si>
    <t>M</t>
  </si>
  <si>
    <t>J</t>
  </si>
  <si>
    <t>V</t>
  </si>
  <si>
    <t>S</t>
  </si>
  <si>
    <t>GABRIEL PAYARES</t>
  </si>
  <si>
    <t>TECNOLOGO EN RADIOLOGIA</t>
  </si>
  <si>
    <t>MASCULINO</t>
  </si>
  <si>
    <t>15 TURNOS || 8 CORRIDOS - 7 NOCHES || EXTRAS: 8 || REC. NOCT: 66 || DOM. DIU: 25 || DOM. NOC: 11</t>
  </si>
  <si>
    <t>ONASIS PADILLA</t>
  </si>
  <si>
    <t>16 TURNOS || 8 CORRIDOS - 8 NOCHES || EXTRAS: 8 || REC. NOCT: 66 || DOM. DIU: 14 || DOM. NOC: 22</t>
  </si>
  <si>
    <t>HERNAN RHENALS</t>
  </si>
  <si>
    <t>16 TURNOS || 8 CORRIDOS - 8 NOCHES || EXTRAS: 8 || REC. NOCT: 77 || DOM. DIU: 25 || DOM. NOC: 11</t>
  </si>
  <si>
    <t>NORA MARSIGLIA</t>
  </si>
  <si>
    <t>FEMENINO</t>
  </si>
  <si>
    <t>15 TURNOS || 7 CORRIDOS - 8 NOCHES || EXTRAS: 8 || REC. NOCT: 66 || DOM. DIU: 14 || DOM. NOC: 22</t>
  </si>
  <si>
    <t>MARIO PADILLA</t>
  </si>
  <si>
    <t>SHIRLEY ALARCON</t>
  </si>
  <si>
    <t>TRANSCRIPTORA</t>
  </si>
  <si>
    <t>25 TURNOS || 21 M/T - 4 M || EXTRAS: 6 || REC. NOCT: 0 || DOM. DIU: 6 || DOM. NOC: 0</t>
  </si>
  <si>
    <t>DEISY GONZALEZ</t>
  </si>
  <si>
    <t>27 TURNOS || 21 M/T - 6 M || EXTRAS: 3 || REC. NOCT: 0 || DOM. DIU: 12 || DOM. NOC: 0</t>
  </si>
  <si>
    <t>MARIA CARRASCAL</t>
  </si>
  <si>
    <t>AUXILIAR ENFERMERIA</t>
  </si>
  <si>
    <t>25 TURNOS || 21 M/T - 4 M || EXTRAS: 0 || REC. NOCT: 0 || DOM. DIU: 0 || DOM. NOC: 0</t>
  </si>
  <si>
    <t>TOTALES</t>
  </si>
  <si>
    <t>TOTAL EQUIPO: 139 TURNOS || 31 C - 31 N - 63 M/T - 14 M || EXTRAS: 41 || REC. NOCT: 275 || DOM. DIU: 96 || DOM. NOC: 66</t>
  </si>
  <si>
    <t>ELABORADO POR:</t>
  </si>
  <si>
    <t>REVISADO POR:</t>
  </si>
  <si>
    <t>APROBADO POR:</t>
  </si>
  <si>
    <t>FRANCISCO J. VERGARA COORDINADOR IMAGENES DX</t>
  </si>
  <si>
    <t>COORDINACION TALENTO HUMANO</t>
  </si>
  <si>
    <t>D: DISPONIBLE (24 HORAS)</t>
  </si>
  <si>
    <t>CD: CALAMIDAD DOMESTICA</t>
  </si>
  <si>
    <t>C: CORRIDO (12 HORAS)</t>
  </si>
  <si>
    <t>PR: PERMISO REMUNERADO</t>
  </si>
  <si>
    <t>N: NOCHE (12 HORAS)</t>
  </si>
  <si>
    <t>PNR: PERMISO NO REMUNERADO</t>
  </si>
  <si>
    <t>M: MAÑANA</t>
  </si>
  <si>
    <t>LM: LICENCIA MATERNIDAD</t>
  </si>
  <si>
    <t>T: TARDE</t>
  </si>
  <si>
    <t>LP: LICENCIA PATERNIDAD</t>
  </si>
  <si>
    <t>M/T: MAÑANA Y TARDE</t>
  </si>
  <si>
    <t>S: SANCION DISCIPLINARIA</t>
  </si>
  <si>
    <t>I: INCAPACIDAD</t>
  </si>
  <si>
    <t>L: LIBRE</t>
  </si>
  <si>
    <t>LL: LICENCIA POR LUTO</t>
  </si>
  <si>
    <t>CA: CAPACITACION</t>
  </si>
  <si>
    <t>V: VACACIONES</t>
  </si>
  <si>
    <t>ANJ: AUSENCIA NO JUSTIFICADA</t>
  </si>
  <si>
    <t>R: RENUNCIA</t>
  </si>
  <si>
    <t>TR: TRASLADO DE SERVICIO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</si>
</sst>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$ #,##0"/>
    <numFmt numFmtId="165" formatCode="+#;-#;0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b/>
      <sz val="12.0"/>
      <color rgb="FF000000"/>
      <name val="Arial"/>
    </font>
    <font/>
    <font>
      <b/>
      <sz val="12.0"/>
      <color theme="1"/>
      <name val="Arial"/>
    </font>
    <font>
      <sz val="12.0"/>
      <color rgb="FF000000"/>
      <name val="Arial"/>
    </font>
    <font>
      <b/>
      <sz val="12.0"/>
      <color rgb="FFFFFFFF"/>
      <name val="Roboto Mono"/>
    </font>
    <font>
      <b/>
      <sz val="12.0"/>
      <color rgb="FF000000"/>
      <name val="Roboto Mono"/>
    </font>
    <font>
      <b/>
      <sz val="12.0"/>
      <color rgb="FFFF0000"/>
      <name val="Arial"/>
    </font>
    <font>
      <b/>
      <sz val="9.0"/>
      <color rgb="FF000000"/>
      <name val="Roboto Mono"/>
    </font>
    <font>
      <b/>
      <sz val="12.0"/>
      <color theme="1"/>
      <name val="Roboto Mono"/>
    </font>
    <font>
      <sz val="12.0"/>
      <color theme="1"/>
      <name val="Arial"/>
    </font>
    <font>
      <color theme="1"/>
      <name val="Arial"/>
      <scheme val="minor"/>
    </font>
  </fonts>
  <fills count="2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76E3FF"/>
        <bgColor rgb="FF76E3FF"/>
      </patternFill>
    </fill>
    <fill>
      <patternFill patternType="solid">
        <fgColor rgb="FFF1C232"/>
        <bgColor rgb="FFF1C232"/>
      </patternFill>
    </fill>
    <fill>
      <patternFill patternType="solid">
        <fgColor rgb="FF6AA84F"/>
        <bgColor rgb="FF6AA84F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444444"/>
        <bgColor rgb="FF444444"/>
      </patternFill>
    </fill>
    <fill>
      <patternFill patternType="solid">
        <fgColor rgb="FF3C78D8"/>
        <bgColor rgb="FF3C78D8"/>
      </patternFill>
    </fill>
    <fill>
      <patternFill patternType="solid">
        <fgColor rgb="FFE69138"/>
        <bgColor rgb="FFE69138"/>
      </patternFill>
    </fill>
    <fill>
      <patternFill patternType="solid">
        <fgColor rgb="FF1155CC"/>
        <bgColor rgb="FF1155CC"/>
      </patternFill>
    </fill>
    <fill>
      <patternFill patternType="solid">
        <fgColor rgb="FF4A86E8"/>
        <bgColor rgb="FF4A86E8"/>
      </patternFill>
    </fill>
    <fill>
      <patternFill patternType="solid">
        <fgColor rgb="FF20124D"/>
        <bgColor rgb="FF20124D"/>
      </patternFill>
    </fill>
    <fill>
      <patternFill patternType="solid">
        <fgColor rgb="FFF2F2F2"/>
        <bgColor rgb="FFF2F2F2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F362FE"/>
        <bgColor rgb="FFF362FE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C9A6E4"/>
        <bgColor rgb="FFC9A6E4"/>
      </patternFill>
    </fill>
    <fill>
      <patternFill patternType="solid">
        <fgColor rgb="FFA9D08E"/>
        <bgColor rgb="FFA9D08E"/>
      </patternFill>
    </fill>
    <fill>
      <patternFill patternType="solid">
        <fgColor rgb="FFFF0000"/>
        <bgColor rgb="FFFF0000"/>
      </patternFill>
    </fill>
  </fills>
  <borders count="3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D9D9D9"/>
      </top>
      <bottom style="thin">
        <color rgb="FFD9D9D9"/>
      </bottom>
    </border>
    <border>
      <right style="thin">
        <color rgb="FFF2F2F2"/>
      </right>
    </border>
    <border>
      <right style="thin">
        <color rgb="FFD9D9D9"/>
      </right>
    </border>
    <border>
      <left style="thin">
        <color rgb="FFD9D9D9"/>
      </left>
      <right style="thin">
        <color rgb="FFD9D9D9"/>
      </right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</border>
    <border>
      <right style="thin">
        <color rgb="FFD9D9D9"/>
      </righ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1" fillId="0" fontId="2" numFmtId="0" xfId="0" applyAlignment="1" applyBorder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1" fillId="0" fontId="4" numFmtId="0" xfId="0" applyAlignment="1" applyBorder="1" applyFont="1">
      <alignment horizontal="left" readingOrder="0" shrinkToFit="0" vertical="center" wrapText="0"/>
    </xf>
    <xf borderId="0" fillId="0" fontId="5" numFmtId="0" xfId="0" applyAlignment="1" applyFont="1">
      <alignment shrinkToFit="0" vertical="center" wrapText="0"/>
    </xf>
    <xf borderId="4" fillId="0" fontId="2" numFmtId="0" xfId="0" applyAlignment="1" applyBorder="1" applyFont="1">
      <alignment horizontal="center" readingOrder="0" shrinkToFit="0" vertical="center" wrapText="0"/>
    </xf>
    <xf borderId="5" fillId="0" fontId="3" numFmtId="0" xfId="0" applyBorder="1" applyFont="1"/>
    <xf borderId="6" fillId="0" fontId="3" numFmtId="0" xfId="0" applyBorder="1" applyFont="1"/>
    <xf borderId="4" fillId="0" fontId="2" numFmtId="0" xfId="0" applyAlignment="1" applyBorder="1" applyFont="1">
      <alignment horizontal="left" readingOrder="0" vertical="center"/>
    </xf>
    <xf borderId="0" fillId="2" fontId="5" numFmtId="0" xfId="0" applyAlignment="1" applyFill="1" applyFont="1">
      <alignment shrinkToFit="0" vertical="center" wrapText="0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readingOrder="0" vertical="center"/>
    </xf>
    <xf borderId="11" fillId="0" fontId="2" numFmtId="0" xfId="0" applyAlignment="1" applyBorder="1" applyFont="1">
      <alignment horizontal="center" readingOrder="0" shrinkToFit="0" vertical="center" wrapText="0"/>
    </xf>
    <xf borderId="12" fillId="0" fontId="3" numFmtId="0" xfId="0" applyBorder="1" applyFont="1"/>
    <xf borderId="11" fillId="3" fontId="2" numFmtId="0" xfId="0" applyAlignment="1" applyBorder="1" applyFill="1" applyFont="1">
      <alignment horizontal="center" readingOrder="0" vertical="center"/>
    </xf>
    <xf borderId="13" fillId="4" fontId="2" numFmtId="0" xfId="0" applyAlignment="1" applyBorder="1" applyFill="1" applyFont="1">
      <alignment horizontal="center" readingOrder="0" shrinkToFit="0" vertical="center" wrapText="0"/>
    </xf>
    <xf borderId="7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1" fillId="0" fontId="3" numFmtId="0" xfId="0" applyBorder="1" applyFont="1"/>
    <xf borderId="14" fillId="0" fontId="3" numFmtId="0" xfId="0" applyBorder="1" applyFont="1"/>
    <xf borderId="1" fillId="5" fontId="6" numFmtId="0" xfId="0" applyAlignment="1" applyBorder="1" applyFill="1" applyFont="1">
      <alignment horizontal="center" readingOrder="0"/>
    </xf>
    <xf borderId="10" fillId="6" fontId="7" numFmtId="164" xfId="0" applyAlignment="1" applyBorder="1" applyFill="1" applyFont="1" applyNumberFormat="1">
      <alignment horizontal="center" readingOrder="0"/>
    </xf>
    <xf borderId="10" fillId="7" fontId="7" numFmtId="164" xfId="0" applyAlignment="1" applyBorder="1" applyFill="1" applyFont="1" applyNumberFormat="1">
      <alignment horizontal="center" readingOrder="0"/>
    </xf>
    <xf borderId="0" fillId="2" fontId="7" numFmtId="164" xfId="0" applyAlignment="1" applyFont="1" applyNumberFormat="1">
      <alignment horizontal="center" readingOrder="0"/>
    </xf>
    <xf borderId="13" fillId="2" fontId="2" numFmtId="0" xfId="0" applyAlignment="1" applyBorder="1" applyFont="1">
      <alignment horizontal="center" readingOrder="0" shrinkToFit="0" vertical="center" wrapText="0"/>
    </xf>
    <xf borderId="11" fillId="2" fontId="2" numFmtId="0" xfId="0" applyAlignment="1" applyBorder="1" applyFont="1">
      <alignment horizontal="center" readingOrder="0" shrinkToFit="0" vertical="center" wrapText="0"/>
    </xf>
    <xf borderId="15" fillId="2" fontId="8" numFmtId="0" xfId="0" applyAlignment="1" applyBorder="1" applyFont="1">
      <alignment horizontal="center" readingOrder="0"/>
    </xf>
    <xf borderId="6" fillId="2" fontId="2" numFmtId="0" xfId="0" applyAlignment="1" applyBorder="1" applyFont="1">
      <alignment horizontal="center" readingOrder="0"/>
    </xf>
    <xf borderId="3" fillId="2" fontId="2" numFmtId="0" xfId="0" applyAlignment="1" applyBorder="1" applyFont="1">
      <alignment horizontal="center" readingOrder="0"/>
    </xf>
    <xf borderId="6" fillId="2" fontId="8" numFmtId="0" xfId="0" applyAlignment="1" applyBorder="1" applyFont="1">
      <alignment horizontal="center" readingOrder="0"/>
    </xf>
    <xf borderId="3" fillId="2" fontId="8" numFmtId="0" xfId="0" applyAlignment="1" applyBorder="1" applyFont="1">
      <alignment horizontal="center" readingOrder="0"/>
    </xf>
    <xf borderId="12" fillId="0" fontId="2" numFmtId="0" xfId="0" applyAlignment="1" applyBorder="1" applyFont="1">
      <alignment horizontal="center" readingOrder="0" shrinkToFit="0" vertical="center" wrapText="1"/>
    </xf>
    <xf borderId="13" fillId="0" fontId="2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15" fillId="8" fontId="6" numFmtId="0" xfId="0" applyAlignment="1" applyBorder="1" applyFill="1" applyFont="1">
      <alignment horizontal="center" readingOrder="0" shrinkToFit="0" vertical="center" wrapText="0"/>
    </xf>
    <xf borderId="15" fillId="4" fontId="6" numFmtId="0" xfId="0" applyAlignment="1" applyBorder="1" applyFont="1">
      <alignment horizontal="center" readingOrder="0" shrinkToFit="0" vertical="center" wrapText="1"/>
    </xf>
    <xf borderId="15" fillId="9" fontId="6" numFmtId="0" xfId="0" applyAlignment="1" applyBorder="1" applyFill="1" applyFont="1">
      <alignment horizontal="center" readingOrder="0" shrinkToFit="0" vertical="center" wrapText="1"/>
    </xf>
    <xf borderId="15" fillId="10" fontId="6" numFmtId="0" xfId="0" applyAlignment="1" applyBorder="1" applyFill="1" applyFont="1">
      <alignment horizontal="center" readingOrder="0" shrinkToFit="0" vertical="center" wrapText="1"/>
    </xf>
    <xf borderId="15" fillId="11" fontId="6" numFmtId="0" xfId="0" applyAlignment="1" applyBorder="1" applyFill="1" applyFont="1">
      <alignment horizontal="center" readingOrder="0" shrinkToFit="0" vertical="center" wrapText="1"/>
    </xf>
    <xf borderId="15" fillId="12" fontId="6" numFmtId="0" xfId="0" applyAlignment="1" applyBorder="1" applyFill="1" applyFont="1">
      <alignment horizontal="center" readingOrder="0" shrinkToFit="0" vertical="center" wrapText="1"/>
    </xf>
    <xf borderId="15" fillId="13" fontId="6" numFmtId="0" xfId="0" applyAlignment="1" applyBorder="1" applyFill="1" applyFont="1">
      <alignment horizontal="center" readingOrder="0" shrinkToFit="0" vertical="center" wrapText="1"/>
    </xf>
    <xf borderId="0" fillId="2" fontId="6" numFmtId="0" xfId="0" applyAlignment="1" applyFont="1">
      <alignment horizontal="center" readingOrder="0" shrinkToFit="0" vertical="center" wrapText="1"/>
    </xf>
    <xf borderId="10" fillId="2" fontId="8" numFmtId="0" xfId="0" applyAlignment="1" applyBorder="1" applyFont="1">
      <alignment horizontal="center" readingOrder="0"/>
    </xf>
    <xf borderId="14" fillId="2" fontId="2" numFmtId="0" xfId="0" applyAlignment="1" applyBorder="1" applyFont="1">
      <alignment horizontal="center" readingOrder="0"/>
    </xf>
    <xf borderId="9" fillId="2" fontId="2" numFmtId="0" xfId="0" applyAlignment="1" applyBorder="1" applyFont="1">
      <alignment horizontal="center" readingOrder="0"/>
    </xf>
    <xf borderId="9" fillId="2" fontId="8" numFmtId="0" xfId="0" applyAlignment="1" applyBorder="1" applyFont="1">
      <alignment horizontal="center" readingOrder="0"/>
    </xf>
    <xf borderId="10" fillId="2" fontId="2" numFmtId="0" xfId="0" applyAlignment="1" applyBorder="1" applyFont="1">
      <alignment horizontal="center" readingOrder="0"/>
    </xf>
    <xf borderId="13" fillId="14" fontId="5" numFmtId="0" xfId="0" applyAlignment="1" applyBorder="1" applyFill="1" applyFont="1">
      <alignment horizontal="center" readingOrder="0" shrinkToFit="0" vertical="center" wrapText="1"/>
    </xf>
    <xf borderId="13" fillId="14" fontId="5" numFmtId="0" xfId="0" applyAlignment="1" applyBorder="1" applyFont="1">
      <alignment horizontal="center" vertical="center"/>
    </xf>
    <xf borderId="13" fillId="14" fontId="5" numFmtId="0" xfId="0" applyAlignment="1" applyBorder="1" applyFont="1">
      <alignment horizontal="center" readingOrder="0" vertical="center"/>
    </xf>
    <xf borderId="14" fillId="2" fontId="2" numFmtId="0" xfId="0" applyAlignment="1" applyBorder="1" applyFont="1">
      <alignment horizontal="center" readingOrder="0" vertical="bottom"/>
    </xf>
    <xf borderId="9" fillId="2" fontId="2" numFmtId="0" xfId="0" applyAlignment="1" applyBorder="1" applyFont="1">
      <alignment horizontal="center" readingOrder="0" vertical="bottom"/>
    </xf>
    <xf borderId="14" fillId="2" fontId="8" numFmtId="0" xfId="0" applyAlignment="1" applyBorder="1" applyFont="1">
      <alignment horizontal="center" readingOrder="0" vertical="bottom"/>
    </xf>
    <xf borderId="9" fillId="2" fontId="8" numFmtId="0" xfId="0" applyAlignment="1" applyBorder="1" applyFont="1">
      <alignment horizontal="center" readingOrder="0" vertical="bottom"/>
    </xf>
    <xf borderId="15" fillId="2" fontId="8" numFmtId="165" xfId="0" applyAlignment="1" applyBorder="1" applyFont="1" applyNumberFormat="1">
      <alignment horizontal="center" readingOrder="0" shrinkToFit="0" vertical="center" wrapText="0"/>
    </xf>
    <xf borderId="4" fillId="0" fontId="9" numFmtId="0" xfId="0" applyAlignment="1" applyBorder="1" applyFont="1">
      <alignment horizontal="left" readingOrder="0" shrinkToFit="0" vertical="top" wrapText="1"/>
    </xf>
    <xf borderId="16" fillId="0" fontId="5" numFmtId="0" xfId="0" applyAlignment="1" applyBorder="1" applyFont="1">
      <alignment shrinkToFit="0" vertical="center" wrapText="0"/>
    </xf>
    <xf borderId="15" fillId="15" fontId="7" numFmtId="0" xfId="0" applyAlignment="1" applyBorder="1" applyFill="1" applyFont="1">
      <alignment horizontal="center" readingOrder="0" shrinkToFit="0" vertical="center" wrapText="0"/>
    </xf>
    <xf borderId="10" fillId="15" fontId="7" numFmtId="1" xfId="0" applyAlignment="1" applyBorder="1" applyFont="1" applyNumberFormat="1">
      <alignment horizontal="center" readingOrder="0" shrinkToFit="0" vertical="center" wrapText="0"/>
    </xf>
    <xf borderId="15" fillId="15" fontId="7" numFmtId="164" xfId="0" applyAlignment="1" applyBorder="1" applyFont="1" applyNumberFormat="1">
      <alignment shrinkToFit="0" vertical="center" wrapText="0"/>
    </xf>
    <xf borderId="0" fillId="2" fontId="7" numFmtId="164" xfId="0" applyAlignment="1" applyFont="1" applyNumberFormat="1">
      <alignment shrinkToFit="0" vertical="center" wrapText="0"/>
    </xf>
    <xf borderId="13" fillId="0" fontId="3" numFmtId="0" xfId="0" applyBorder="1" applyFont="1"/>
    <xf borderId="10" fillId="15" fontId="7" numFmtId="164" xfId="0" applyAlignment="1" applyBorder="1" applyFont="1" applyNumberFormat="1">
      <alignment horizontal="center" readingOrder="0" shrinkToFit="0" vertical="center" wrapText="0"/>
    </xf>
    <xf borderId="8" fillId="2" fontId="2" numFmtId="0" xfId="0" applyAlignment="1" applyBorder="1" applyFont="1">
      <alignment horizontal="center" readingOrder="0" vertical="bottom"/>
    </xf>
    <xf borderId="10" fillId="15" fontId="10" numFmtId="1" xfId="0" applyAlignment="1" applyBorder="1" applyFont="1" applyNumberFormat="1">
      <alignment horizontal="center" readingOrder="0"/>
    </xf>
    <xf borderId="7" fillId="2" fontId="2" numFmtId="0" xfId="0" applyAlignment="1" applyBorder="1" applyFont="1">
      <alignment horizontal="center" readingOrder="0" vertical="bottom"/>
    </xf>
    <xf borderId="10" fillId="15" fontId="7" numFmtId="0" xfId="0" applyAlignment="1" applyBorder="1" applyFont="1">
      <alignment horizontal="center" readingOrder="0" shrinkToFit="0" vertical="center" wrapText="0"/>
    </xf>
    <xf borderId="10" fillId="15" fontId="7" numFmtId="164" xfId="0" applyAlignment="1" applyBorder="1" applyFont="1" applyNumberFormat="1">
      <alignment shrinkToFit="0" vertical="center" wrapText="0"/>
    </xf>
    <xf borderId="4" fillId="0" fontId="9" numFmtId="0" xfId="0" applyAlignment="1" applyBorder="1" applyFont="1">
      <alignment horizontal="left" readingOrder="0" shrinkToFit="0" vertical="center" wrapText="1"/>
    </xf>
    <xf borderId="15" fillId="6" fontId="7" numFmtId="0" xfId="0" applyAlignment="1" applyBorder="1" applyFont="1">
      <alignment horizontal="center" readingOrder="0" shrinkToFit="0" vertical="center" wrapText="0"/>
    </xf>
    <xf borderId="10" fillId="6" fontId="7" numFmtId="1" xfId="0" applyAlignment="1" applyBorder="1" applyFont="1" applyNumberFormat="1">
      <alignment horizontal="center" readingOrder="0" shrinkToFit="0" vertical="center" wrapText="0"/>
    </xf>
    <xf borderId="15" fillId="6" fontId="7" numFmtId="164" xfId="0" applyAlignment="1" applyBorder="1" applyFont="1" applyNumberFormat="1">
      <alignment shrinkToFit="0" vertical="center" wrapText="0"/>
    </xf>
    <xf borderId="10" fillId="6" fontId="7" numFmtId="164" xfId="0" applyAlignment="1" applyBorder="1" applyFont="1" applyNumberFormat="1">
      <alignment horizontal="center" readingOrder="0" shrinkToFit="0" vertical="center" wrapText="0"/>
    </xf>
    <xf borderId="17" fillId="0" fontId="5" numFmtId="0" xfId="0" applyAlignment="1" applyBorder="1" applyFont="1">
      <alignment shrinkToFit="0" vertical="center" wrapText="0"/>
    </xf>
    <xf borderId="18" fillId="0" fontId="5" numFmtId="0" xfId="0" applyAlignment="1" applyBorder="1" applyFont="1">
      <alignment shrinkToFit="0" vertical="center" wrapText="0"/>
    </xf>
    <xf borderId="0" fillId="2" fontId="4" numFmtId="0" xfId="0" applyAlignment="1" applyFont="1">
      <alignment horizontal="center" vertical="center"/>
    </xf>
    <xf borderId="19" fillId="0" fontId="5" numFmtId="0" xfId="0" applyAlignment="1" applyBorder="1" applyFont="1">
      <alignment shrinkToFit="0" vertical="center" wrapText="0"/>
    </xf>
    <xf borderId="4" fillId="0" fontId="2" numFmtId="0" xfId="0" applyAlignment="1" applyBorder="1" applyFont="1">
      <alignment horizontal="center" readingOrder="0" vertical="center"/>
    </xf>
    <xf borderId="13" fillId="0" fontId="2" numFmtId="0" xfId="0" applyAlignment="1" applyBorder="1" applyFont="1">
      <alignment horizontal="center" readingOrder="0" shrinkToFit="0" vertical="center" wrapText="0"/>
    </xf>
    <xf borderId="13" fillId="0" fontId="2" numFmtId="165" xfId="0" applyAlignment="1" applyBorder="1" applyFont="1" applyNumberFormat="1">
      <alignment horizontal="center" readingOrder="0" shrinkToFit="0" vertical="center" wrapText="0"/>
    </xf>
    <xf borderId="4" fillId="2" fontId="9" numFmtId="0" xfId="0" applyAlignment="1" applyBorder="1" applyFont="1">
      <alignment horizontal="left" readingOrder="0" shrinkToFit="0" vertical="center" wrapText="1"/>
    </xf>
    <xf borderId="15" fillId="5" fontId="6" numFmtId="0" xfId="0" applyAlignment="1" applyBorder="1" applyFont="1">
      <alignment horizontal="center" readingOrder="0" shrinkToFit="0" vertical="center" wrapText="0"/>
    </xf>
    <xf borderId="10" fillId="5" fontId="6" numFmtId="1" xfId="0" applyAlignment="1" applyBorder="1" applyFont="1" applyNumberFormat="1">
      <alignment horizontal="center" readingOrder="0" shrinkToFit="0" vertical="center" wrapText="0"/>
    </xf>
    <xf borderId="10" fillId="5" fontId="6" numFmtId="1" xfId="0" applyAlignment="1" applyBorder="1" applyFont="1" applyNumberFormat="1">
      <alignment horizontal="center" shrinkToFit="0" vertical="center" wrapText="0"/>
    </xf>
    <xf borderId="15" fillId="5" fontId="6" numFmtId="164" xfId="0" applyAlignment="1" applyBorder="1" applyFont="1" applyNumberFormat="1">
      <alignment horizontal="center" readingOrder="0" shrinkToFit="0" vertical="center" wrapText="0"/>
    </xf>
    <xf borderId="20" fillId="0" fontId="5" numFmtId="0" xfId="0" applyAlignment="1" applyBorder="1" applyFont="1">
      <alignment shrinkToFit="0" vertical="center" wrapText="0"/>
    </xf>
    <xf borderId="21" fillId="0" fontId="5" numFmtId="0" xfId="0" applyAlignment="1" applyBorder="1" applyFont="1">
      <alignment shrinkToFit="0" vertical="center" wrapText="0"/>
    </xf>
    <xf borderId="22" fillId="2" fontId="4" numFmtId="0" xfId="0" applyAlignment="1" applyBorder="1" applyFont="1">
      <alignment horizontal="center" vertical="center"/>
    </xf>
    <xf borderId="23" fillId="0" fontId="5" numFmtId="0" xfId="0" applyAlignment="1" applyBorder="1" applyFont="1">
      <alignment shrinkToFit="0" vertical="center" wrapText="0"/>
    </xf>
    <xf borderId="24" fillId="0" fontId="5" numFmtId="0" xfId="0" applyAlignment="1" applyBorder="1" applyFont="1">
      <alignment shrinkToFit="0" vertical="center" wrapText="0"/>
    </xf>
    <xf borderId="24" fillId="2" fontId="5" numFmtId="0" xfId="0" applyAlignment="1" applyBorder="1" applyFont="1">
      <alignment shrinkToFit="0" vertical="center" wrapText="0"/>
    </xf>
    <xf borderId="10" fillId="5" fontId="6" numFmtId="164" xfId="0" applyAlignment="1" applyBorder="1" applyFont="1" applyNumberFormat="1">
      <alignment horizontal="center" readingOrder="0" shrinkToFit="0" vertical="center" wrapText="0"/>
    </xf>
    <xf borderId="10" fillId="5" fontId="6" numFmtId="164" xfId="0" applyAlignment="1" applyBorder="1" applyFont="1" applyNumberFormat="1">
      <alignment shrinkToFit="0" vertical="center" wrapText="0"/>
    </xf>
    <xf borderId="0" fillId="0" fontId="11" numFmtId="0" xfId="0" applyAlignment="1" applyFont="1">
      <alignment shrinkToFit="0" vertical="center" wrapText="0"/>
    </xf>
    <xf borderId="25" fillId="0" fontId="5" numFmtId="0" xfId="0" applyAlignment="1" applyBorder="1" applyFont="1">
      <alignment shrinkToFit="0" vertical="center" wrapText="0"/>
    </xf>
    <xf borderId="19" fillId="2" fontId="5" numFmtId="0" xfId="0" applyAlignment="1" applyBorder="1" applyFont="1">
      <alignment shrinkToFit="0" vertical="center" wrapText="0"/>
    </xf>
    <xf borderId="26" fillId="0" fontId="5" numFmtId="0" xfId="0" applyAlignment="1" applyBorder="1" applyFont="1">
      <alignment shrinkToFit="0" vertical="center" wrapText="0"/>
    </xf>
    <xf borderId="4" fillId="0" fontId="11" numFmtId="0" xfId="0" applyAlignment="1" applyBorder="1" applyFont="1">
      <alignment horizontal="center" shrinkToFit="0" vertical="center" wrapText="0"/>
    </xf>
    <xf borderId="4" fillId="0" fontId="5" numFmtId="0" xfId="0" applyAlignment="1" applyBorder="1" applyFont="1">
      <alignment horizontal="center" shrinkToFit="0" vertical="center" wrapText="0"/>
    </xf>
    <xf borderId="1" fillId="0" fontId="11" numFmtId="0" xfId="0" applyAlignment="1" applyBorder="1" applyFont="1">
      <alignment horizontal="center" readingOrder="0" shrinkToFit="0" vertical="center" wrapText="0"/>
    </xf>
    <xf borderId="4" fillId="0" fontId="11" numFmtId="0" xfId="0" applyAlignment="1" applyBorder="1" applyFont="1">
      <alignment horizontal="center" readingOrder="0" shrinkToFit="0" vertical="center" wrapText="1"/>
    </xf>
    <xf borderId="27" fillId="0" fontId="5" numFmtId="0" xfId="0" applyAlignment="1" applyBorder="1" applyFont="1">
      <alignment shrinkToFit="0" vertical="center" wrapText="0"/>
    </xf>
    <xf borderId="4" fillId="0" fontId="11" numFmtId="0" xfId="0" applyAlignment="1" applyBorder="1" applyFont="1">
      <alignment horizontal="center" readingOrder="0" shrinkToFit="0" vertical="center" wrapText="0"/>
    </xf>
    <xf borderId="28" fillId="0" fontId="5" numFmtId="0" xfId="0" applyAlignment="1" applyBorder="1" applyFont="1">
      <alignment shrinkToFit="0" vertical="center" wrapText="0"/>
    </xf>
    <xf borderId="29" fillId="0" fontId="5" numFmtId="0" xfId="0" applyAlignment="1" applyBorder="1" applyFont="1">
      <alignment shrinkToFit="0" vertical="center" wrapText="0"/>
    </xf>
    <xf borderId="30" fillId="0" fontId="5" numFmtId="0" xfId="0" applyAlignment="1" applyBorder="1" applyFont="1">
      <alignment shrinkToFit="0" vertical="center" wrapText="0"/>
    </xf>
    <xf borderId="10" fillId="16" fontId="5" numFmtId="0" xfId="0" applyAlignment="1" applyBorder="1" applyFill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1" fillId="0" fontId="5" numFmtId="0" xfId="0" applyAlignment="1" applyBorder="1" applyFont="1">
      <alignment horizontal="left" readingOrder="0" shrinkToFit="0" vertical="center" wrapText="0"/>
    </xf>
    <xf borderId="10" fillId="0" fontId="5" numFmtId="0" xfId="0" applyAlignment="1" applyBorder="1" applyFont="1">
      <alignment readingOrder="0" shrinkToFit="0" vertical="center" wrapText="0"/>
    </xf>
    <xf borderId="1" fillId="17" fontId="5" numFmtId="0" xfId="0" applyAlignment="1" applyBorder="1" applyFill="1" applyFont="1">
      <alignment horizontal="left" readingOrder="0" shrinkToFit="0" vertical="center" wrapText="0"/>
    </xf>
    <xf borderId="1" fillId="18" fontId="5" numFmtId="0" xfId="0" applyAlignment="1" applyBorder="1" applyFill="1" applyFont="1">
      <alignment horizontal="left" readingOrder="0" shrinkToFit="0" vertical="center" wrapText="0"/>
    </xf>
    <xf borderId="10" fillId="19" fontId="5" numFmtId="0" xfId="0" applyAlignment="1" applyBorder="1" applyFill="1" applyFont="1">
      <alignment readingOrder="0" shrinkToFit="0" vertical="center" wrapText="0"/>
    </xf>
    <xf borderId="1" fillId="7" fontId="5" numFmtId="0" xfId="0" applyAlignment="1" applyBorder="1" applyFont="1">
      <alignment horizontal="left" readingOrder="0" shrinkToFit="0" vertical="center" wrapText="0"/>
    </xf>
    <xf borderId="10" fillId="20" fontId="5" numFmtId="0" xfId="0" applyAlignment="1" applyBorder="1" applyFill="1" applyFont="1">
      <alignment readingOrder="0" shrinkToFit="0" vertical="center" wrapText="0"/>
    </xf>
    <xf borderId="10" fillId="21" fontId="5" numFmtId="0" xfId="0" applyAlignment="1" applyBorder="1" applyFill="1" applyFont="1">
      <alignment readingOrder="0" shrinkToFit="0" vertical="center" wrapText="0"/>
    </xf>
    <xf borderId="0" fillId="0" fontId="12" numFmtId="0" xfId="0" applyAlignment="1" applyFont="1">
      <alignment vertical="center"/>
    </xf>
    <xf borderId="10" fillId="22" fontId="5" numFmtId="0" xfId="0" applyAlignment="1" applyBorder="1" applyFill="1" applyFont="1">
      <alignment readingOrder="0" shrinkToFit="0" vertical="center" wrapText="0"/>
    </xf>
    <xf borderId="0" fillId="0" fontId="12" numFmtId="0" xfId="0" applyAlignment="1" applyFont="1">
      <alignment shrinkToFit="0" vertical="center" wrapText="0"/>
    </xf>
  </cellXfs>
  <cellStyles count="1">
    <cellStyle xfId="0" name="Normal" builtinId="0"/>
  </cellStyles>
  <dxfs count="3">
    <dxf>
      <font>
        <color rgb="FFFFFFFF"/>
      </font>
      <fill>
        <patternFill patternType="solid">
          <fgColor rgb="FF6AA84F"/>
          <bgColor rgb="FF6AA84F"/>
        </patternFill>
      </fill>
      <border/>
    </dxf>
    <dxf>
      <font>
        <b/>
        <color rgb="FFFFFFFF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524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4.88"/>
    <col customWidth="1" min="2" max="3" width="17.88"/>
    <col customWidth="1" min="4" max="4" width="14.75"/>
    <col customWidth="1" min="5" max="35" width="4.38"/>
    <col customWidth="1" min="36" max="36" width="9.63"/>
    <col customWidth="1" min="37" max="37" width="9.13"/>
    <col customWidth="1" min="38" max="38" width="13.63"/>
    <col customWidth="1" min="39" max="39" width="18.88"/>
    <col customWidth="1" min="42" max="42" width="20.75"/>
    <col customWidth="1" min="43" max="48" width="15.75"/>
    <col customWidth="1" min="49" max="49" width="14.75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4"/>
      <c r="AM1" s="5" t="s">
        <v>1</v>
      </c>
      <c r="AN1" s="4"/>
      <c r="AO1" s="6"/>
      <c r="AP1" s="6"/>
      <c r="AQ1" s="6"/>
      <c r="AR1" s="6"/>
      <c r="AS1" s="6"/>
      <c r="AT1" s="6"/>
      <c r="AU1" s="6"/>
      <c r="AV1" s="6"/>
      <c r="AW1" s="6"/>
    </row>
    <row r="2">
      <c r="B2" s="2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4"/>
      <c r="AM2" s="5" t="s">
        <v>3</v>
      </c>
      <c r="AN2" s="4"/>
      <c r="AO2" s="6"/>
      <c r="AP2" s="6"/>
      <c r="AQ2" s="6"/>
      <c r="AR2" s="6"/>
      <c r="AS2" s="6"/>
      <c r="AT2" s="6"/>
      <c r="AU2" s="6"/>
      <c r="AV2" s="6"/>
      <c r="AW2" s="6"/>
    </row>
    <row r="3">
      <c r="B3" s="7" t="s">
        <v>4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9"/>
      <c r="AM3" s="10" t="s">
        <v>5</v>
      </c>
      <c r="AN3" s="9"/>
      <c r="AO3" s="6"/>
      <c r="AP3" s="6"/>
      <c r="AQ3" s="6"/>
      <c r="AR3" s="6"/>
      <c r="AS3" s="6"/>
      <c r="AT3" s="6"/>
      <c r="AU3" s="6"/>
      <c r="AV3" s="6"/>
      <c r="AW3" s="11"/>
    </row>
    <row r="4">
      <c r="A4" s="12"/>
      <c r="B4" s="13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4"/>
      <c r="AM4" s="13"/>
      <c r="AN4" s="14"/>
      <c r="AO4" s="6"/>
      <c r="AP4" s="6"/>
      <c r="AQ4" s="6"/>
      <c r="AR4" s="6"/>
      <c r="AS4" s="6"/>
      <c r="AT4" s="6"/>
      <c r="AU4" s="6"/>
      <c r="AV4" s="6"/>
      <c r="AW4" s="11"/>
    </row>
    <row r="5">
      <c r="A5" s="15" t="s">
        <v>6</v>
      </c>
      <c r="B5" s="16" t="s">
        <v>7</v>
      </c>
      <c r="C5" s="8"/>
      <c r="D5" s="9"/>
      <c r="E5" s="17" t="s">
        <v>8</v>
      </c>
      <c r="AI5" s="18"/>
      <c r="AJ5" s="19" t="s">
        <v>9</v>
      </c>
      <c r="AM5" s="18"/>
      <c r="AN5" s="20">
        <v>168.0</v>
      </c>
      <c r="AO5" s="6"/>
      <c r="AP5" s="6"/>
      <c r="AQ5" s="6"/>
      <c r="AR5" s="6"/>
      <c r="AS5" s="6"/>
      <c r="AT5" s="6"/>
      <c r="AU5" s="6"/>
      <c r="AV5" s="6"/>
      <c r="AW5" s="11"/>
    </row>
    <row r="6">
      <c r="A6" s="21" t="s">
        <v>10</v>
      </c>
      <c r="B6" s="22">
        <v>2026.0</v>
      </c>
      <c r="C6" s="3"/>
      <c r="D6" s="4"/>
      <c r="E6" s="23"/>
      <c r="AI6" s="18"/>
      <c r="AJ6" s="13"/>
      <c r="AK6" s="12"/>
      <c r="AL6" s="12"/>
      <c r="AM6" s="14"/>
      <c r="AN6" s="24"/>
      <c r="AO6" s="6"/>
      <c r="AP6" s="25" t="s">
        <v>11</v>
      </c>
      <c r="AQ6" s="3"/>
      <c r="AR6" s="3"/>
      <c r="AS6" s="3"/>
      <c r="AT6" s="3"/>
      <c r="AU6" s="26">
        <v>2000000.0</v>
      </c>
      <c r="AV6" s="27">
        <v>2500000.0</v>
      </c>
      <c r="AW6" s="28"/>
    </row>
    <row r="7" ht="21.0" customHeight="1">
      <c r="A7" s="29" t="s">
        <v>12</v>
      </c>
      <c r="B7" s="29" t="s">
        <v>13</v>
      </c>
      <c r="C7" s="29" t="s">
        <v>14</v>
      </c>
      <c r="D7" s="30" t="s">
        <v>15</v>
      </c>
      <c r="E7" s="31">
        <v>1.0</v>
      </c>
      <c r="F7" s="32">
        <v>2.0</v>
      </c>
      <c r="G7" s="32">
        <v>3.0</v>
      </c>
      <c r="H7" s="32">
        <v>4.0</v>
      </c>
      <c r="I7" s="33">
        <v>5.0</v>
      </c>
      <c r="J7" s="32">
        <v>6.0</v>
      </c>
      <c r="K7" s="32">
        <v>7.0</v>
      </c>
      <c r="L7" s="34">
        <v>8.0</v>
      </c>
      <c r="M7" s="32">
        <v>9.0</v>
      </c>
      <c r="N7" s="32">
        <v>10.0</v>
      </c>
      <c r="O7" s="33">
        <v>11.0</v>
      </c>
      <c r="P7" s="33">
        <v>12.0</v>
      </c>
      <c r="Q7" s="33">
        <v>13.0</v>
      </c>
      <c r="R7" s="33">
        <v>14.0</v>
      </c>
      <c r="S7" s="35">
        <v>15.0</v>
      </c>
      <c r="T7" s="32">
        <v>16.0</v>
      </c>
      <c r="U7" s="32">
        <v>17.0</v>
      </c>
      <c r="V7" s="32">
        <v>18.0</v>
      </c>
      <c r="W7" s="32">
        <v>19.0</v>
      </c>
      <c r="X7" s="32">
        <v>20.0</v>
      </c>
      <c r="Y7" s="32">
        <v>21.0</v>
      </c>
      <c r="Z7" s="34">
        <v>22.0</v>
      </c>
      <c r="AA7" s="34">
        <v>23.0</v>
      </c>
      <c r="AB7" s="32">
        <v>24.0</v>
      </c>
      <c r="AC7" s="32">
        <v>25.0</v>
      </c>
      <c r="AD7" s="32">
        <v>26.0</v>
      </c>
      <c r="AE7" s="33">
        <v>27.0</v>
      </c>
      <c r="AF7" s="33">
        <v>28.0</v>
      </c>
      <c r="AG7" s="34">
        <v>29.0</v>
      </c>
      <c r="AH7" s="33">
        <v>30.0</v>
      </c>
      <c r="AI7" s="33">
        <v>31.0</v>
      </c>
      <c r="AJ7" s="36" t="s">
        <v>16</v>
      </c>
      <c r="AK7" s="36" t="s">
        <v>17</v>
      </c>
      <c r="AL7" s="37" t="s">
        <v>18</v>
      </c>
      <c r="AM7" s="38" t="s">
        <v>19</v>
      </c>
      <c r="AN7" s="9"/>
      <c r="AO7" s="6"/>
      <c r="AP7" s="39" t="s">
        <v>20</v>
      </c>
      <c r="AQ7" s="40" t="s">
        <v>21</v>
      </c>
      <c r="AR7" s="41" t="s">
        <v>22</v>
      </c>
      <c r="AS7" s="42" t="s">
        <v>23</v>
      </c>
      <c r="AT7" s="43" t="s">
        <v>24</v>
      </c>
      <c r="AU7" s="44" t="s">
        <v>25</v>
      </c>
      <c r="AV7" s="45" t="s">
        <v>26</v>
      </c>
      <c r="AW7" s="46"/>
    </row>
    <row r="8" ht="21.0" customHeight="1">
      <c r="A8" s="24"/>
      <c r="B8" s="24"/>
      <c r="C8" s="24"/>
      <c r="D8" s="13"/>
      <c r="E8" s="47" t="s">
        <v>27</v>
      </c>
      <c r="F8" s="33" t="s">
        <v>28</v>
      </c>
      <c r="G8" s="33" t="s">
        <v>29</v>
      </c>
      <c r="H8" s="33" t="s">
        <v>29</v>
      </c>
      <c r="I8" s="48" t="s">
        <v>30</v>
      </c>
      <c r="J8" s="33" t="s">
        <v>31</v>
      </c>
      <c r="K8" s="33" t="s">
        <v>32</v>
      </c>
      <c r="L8" s="35" t="s">
        <v>27</v>
      </c>
      <c r="M8" s="33" t="s">
        <v>28</v>
      </c>
      <c r="N8" s="33" t="s">
        <v>29</v>
      </c>
      <c r="O8" s="49" t="s">
        <v>29</v>
      </c>
      <c r="P8" s="48" t="s">
        <v>30</v>
      </c>
      <c r="Q8" s="49" t="s">
        <v>31</v>
      </c>
      <c r="R8" s="49" t="s">
        <v>32</v>
      </c>
      <c r="S8" s="50" t="s">
        <v>27</v>
      </c>
      <c r="T8" s="33" t="s">
        <v>28</v>
      </c>
      <c r="U8" s="33" t="s">
        <v>29</v>
      </c>
      <c r="V8" s="33" t="s">
        <v>29</v>
      </c>
      <c r="W8" s="51" t="s">
        <v>30</v>
      </c>
      <c r="X8" s="33" t="s">
        <v>31</v>
      </c>
      <c r="Y8" s="33" t="s">
        <v>32</v>
      </c>
      <c r="Z8" s="35" t="s">
        <v>27</v>
      </c>
      <c r="AA8" s="35" t="s">
        <v>28</v>
      </c>
      <c r="AB8" s="33" t="s">
        <v>29</v>
      </c>
      <c r="AC8" s="33" t="s">
        <v>29</v>
      </c>
      <c r="AD8" s="33" t="s">
        <v>30</v>
      </c>
      <c r="AE8" s="49" t="s">
        <v>31</v>
      </c>
      <c r="AF8" s="49" t="s">
        <v>32</v>
      </c>
      <c r="AG8" s="35" t="s">
        <v>27</v>
      </c>
      <c r="AH8" s="49" t="s">
        <v>28</v>
      </c>
      <c r="AI8" s="49" t="s">
        <v>29</v>
      </c>
      <c r="AJ8" s="14"/>
      <c r="AK8" s="14"/>
      <c r="AL8" s="24"/>
      <c r="AM8" s="13"/>
      <c r="AN8" s="14"/>
      <c r="AO8" s="6"/>
      <c r="AP8" s="24"/>
      <c r="AQ8" s="24"/>
      <c r="AR8" s="24"/>
      <c r="AS8" s="24"/>
      <c r="AT8" s="24"/>
      <c r="AU8" s="24"/>
      <c r="AV8" s="24"/>
      <c r="AW8" s="46"/>
    </row>
    <row r="9" ht="21.0" customHeight="1">
      <c r="A9" s="52" t="s">
        <v>33</v>
      </c>
      <c r="B9" s="53"/>
      <c r="C9" s="52" t="s">
        <v>34</v>
      </c>
      <c r="D9" s="54" t="s">
        <v>35</v>
      </c>
      <c r="E9" s="55"/>
      <c r="F9" s="56"/>
      <c r="G9" s="56"/>
      <c r="H9" s="55"/>
      <c r="I9" s="55"/>
      <c r="J9" s="56"/>
      <c r="K9" s="56"/>
      <c r="L9" s="57"/>
      <c r="M9" s="55"/>
      <c r="N9" s="56"/>
      <c r="O9" s="56"/>
      <c r="P9" s="55"/>
      <c r="Q9" s="55"/>
      <c r="R9" s="56"/>
      <c r="S9" s="58"/>
      <c r="T9" s="55"/>
      <c r="U9" s="55"/>
      <c r="V9" s="56"/>
      <c r="W9" s="56"/>
      <c r="X9" s="55"/>
      <c r="Y9" s="55"/>
      <c r="Z9" s="56"/>
      <c r="AA9" s="58"/>
      <c r="AB9" s="55"/>
      <c r="AC9" s="55"/>
      <c r="AD9" s="56"/>
      <c r="AE9" s="56"/>
      <c r="AF9" s="55"/>
      <c r="AG9" s="55"/>
      <c r="AH9" s="56"/>
      <c r="AI9" s="56"/>
      <c r="AJ9" s="29">
        <f>COUNTIF(E10:AI10, "&lt;&gt;0")</f>
        <v>0</v>
      </c>
      <c r="AK9" s="29">
        <f>SUM(E10:AI10)</f>
        <v>0</v>
      </c>
      <c r="AL9" s="59">
        <f>+AK9-$AN$5</f>
        <v>-168</v>
      </c>
      <c r="AM9" s="60" t="s">
        <v>36</v>
      </c>
      <c r="AN9" s="9"/>
      <c r="AO9" s="61"/>
      <c r="AP9" s="62" t="s">
        <v>33</v>
      </c>
      <c r="AQ9" s="63">
        <v>8.0</v>
      </c>
      <c r="AR9" s="63">
        <v>66.0</v>
      </c>
      <c r="AS9" s="63">
        <v>25.0</v>
      </c>
      <c r="AT9" s="63">
        <v>11.0</v>
      </c>
      <c r="AU9" s="63">
        <f t="shared" ref="AU9:AU16" si="1">SUM(AQ9:AT9)</f>
        <v>110</v>
      </c>
      <c r="AV9" s="64">
        <f>$AV$6 + AU10</f>
        <v>3247159.091</v>
      </c>
      <c r="AW9" s="65"/>
    </row>
    <row r="10" ht="21.0" customHeight="1">
      <c r="A10" s="24"/>
      <c r="B10" s="24"/>
      <c r="C10" s="24"/>
      <c r="D10" s="24"/>
      <c r="E10" s="56"/>
      <c r="F10" s="56"/>
      <c r="G10" s="56"/>
      <c r="H10" s="56"/>
      <c r="I10" s="56"/>
      <c r="J10" s="56"/>
      <c r="K10" s="56"/>
      <c r="L10" s="58"/>
      <c r="M10" s="56"/>
      <c r="N10" s="56"/>
      <c r="O10" s="56"/>
      <c r="P10" s="56"/>
      <c r="Q10" s="56"/>
      <c r="R10" s="56"/>
      <c r="S10" s="58"/>
      <c r="T10" s="56"/>
      <c r="U10" s="56"/>
      <c r="V10" s="56"/>
      <c r="W10" s="56"/>
      <c r="X10" s="56"/>
      <c r="Y10" s="56"/>
      <c r="Z10" s="56"/>
      <c r="AA10" s="58"/>
      <c r="AB10" s="56"/>
      <c r="AC10" s="56"/>
      <c r="AD10" s="56"/>
      <c r="AE10" s="56"/>
      <c r="AF10" s="56"/>
      <c r="AG10" s="56"/>
      <c r="AH10" s="56"/>
      <c r="AI10" s="56"/>
      <c r="AJ10" s="24"/>
      <c r="AK10" s="24"/>
      <c r="AL10" s="66"/>
      <c r="AM10" s="13"/>
      <c r="AN10" s="14"/>
      <c r="AO10" s="61"/>
      <c r="AP10" s="24"/>
      <c r="AQ10" s="67">
        <f>AQ9 * 1.25 * ($AV$6 / 220)</f>
        <v>113636.3636</v>
      </c>
      <c r="AR10" s="67">
        <f>AR9 * 0.35 * ($AV$6 / 220)</f>
        <v>262500</v>
      </c>
      <c r="AS10" s="67">
        <f>AS9 * 0.8 * ($AV$6 / 220)</f>
        <v>227272.7273</v>
      </c>
      <c r="AT10" s="67">
        <f>AT9 * 1.15 * ($AV$6 / 220)</f>
        <v>143750</v>
      </c>
      <c r="AU10" s="67">
        <f t="shared" si="1"/>
        <v>747159.0909</v>
      </c>
      <c r="AV10" s="24"/>
      <c r="AW10" s="65"/>
    </row>
    <row r="11" ht="21.0" customHeight="1">
      <c r="A11" s="52" t="s">
        <v>37</v>
      </c>
      <c r="B11" s="53"/>
      <c r="C11" s="52" t="s">
        <v>34</v>
      </c>
      <c r="D11" s="54" t="s">
        <v>35</v>
      </c>
      <c r="E11" s="56"/>
      <c r="F11" s="56"/>
      <c r="G11" s="55"/>
      <c r="H11" s="55"/>
      <c r="I11" s="56"/>
      <c r="J11" s="56"/>
      <c r="K11" s="55"/>
      <c r="L11" s="55"/>
      <c r="M11" s="56"/>
      <c r="N11" s="56"/>
      <c r="O11" s="55"/>
      <c r="P11" s="55"/>
      <c r="Q11" s="56"/>
      <c r="R11" s="56"/>
      <c r="S11" s="57"/>
      <c r="T11" s="55"/>
      <c r="U11" s="56"/>
      <c r="V11" s="56"/>
      <c r="W11" s="55"/>
      <c r="X11" s="55"/>
      <c r="Y11" s="56"/>
      <c r="Z11" s="58"/>
      <c r="AA11" s="58"/>
      <c r="AB11" s="56"/>
      <c r="AC11" s="55"/>
      <c r="AD11" s="55"/>
      <c r="AE11" s="56"/>
      <c r="AF11" s="56"/>
      <c r="AG11" s="56"/>
      <c r="AH11" s="56"/>
      <c r="AI11" s="55"/>
      <c r="AJ11" s="29">
        <f>COUNTIF(E12:AI12, "&lt;&gt;0")</f>
        <v>0</v>
      </c>
      <c r="AK11" s="29">
        <f>SUM(E12:AI12)</f>
        <v>0</v>
      </c>
      <c r="AL11" s="59">
        <f>+AK11-$AN$5</f>
        <v>-168</v>
      </c>
      <c r="AM11" s="60" t="s">
        <v>38</v>
      </c>
      <c r="AN11" s="9"/>
      <c r="AO11" s="61"/>
      <c r="AP11" s="62" t="s">
        <v>37</v>
      </c>
      <c r="AQ11" s="63">
        <v>8.0</v>
      </c>
      <c r="AR11" s="63">
        <v>66.0</v>
      </c>
      <c r="AS11" s="63">
        <v>14.0</v>
      </c>
      <c r="AT11" s="63">
        <v>22.0</v>
      </c>
      <c r="AU11" s="63">
        <f t="shared" si="1"/>
        <v>110</v>
      </c>
      <c r="AV11" s="64">
        <f>$AV$6 + AU12</f>
        <v>3290909.091</v>
      </c>
      <c r="AW11" s="65"/>
    </row>
    <row r="12" ht="21.0" customHeight="1">
      <c r="A12" s="24"/>
      <c r="B12" s="24"/>
      <c r="C12" s="24"/>
      <c r="D12" s="24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8"/>
      <c r="T12" s="56"/>
      <c r="U12" s="56"/>
      <c r="V12" s="56"/>
      <c r="W12" s="56"/>
      <c r="X12" s="56"/>
      <c r="Y12" s="56"/>
      <c r="Z12" s="58"/>
      <c r="AA12" s="58"/>
      <c r="AB12" s="56"/>
      <c r="AC12" s="56"/>
      <c r="AD12" s="56"/>
      <c r="AE12" s="56"/>
      <c r="AF12" s="56"/>
      <c r="AG12" s="56"/>
      <c r="AH12" s="56"/>
      <c r="AI12" s="56"/>
      <c r="AJ12" s="24"/>
      <c r="AK12" s="24"/>
      <c r="AL12" s="66"/>
      <c r="AM12" s="13"/>
      <c r="AN12" s="14"/>
      <c r="AO12" s="61"/>
      <c r="AP12" s="24"/>
      <c r="AQ12" s="67">
        <f>AQ11 * 1.25 * ($AV$6 / 220)</f>
        <v>113636.3636</v>
      </c>
      <c r="AR12" s="67">
        <f>AR11 * 0.35 * ($AV$6 / 220)</f>
        <v>262500</v>
      </c>
      <c r="AS12" s="67">
        <f>AS11 * 0.8 * ($AV$6 / 220)</f>
        <v>127272.7273</v>
      </c>
      <c r="AT12" s="67">
        <f>AT11 * 1.15 * ($AV$6 / 220)</f>
        <v>287500</v>
      </c>
      <c r="AU12" s="67">
        <f t="shared" si="1"/>
        <v>790909.0909</v>
      </c>
      <c r="AV12" s="24"/>
      <c r="AW12" s="65"/>
    </row>
    <row r="13" ht="21.0" customHeight="1">
      <c r="A13" s="52" t="s">
        <v>39</v>
      </c>
      <c r="B13" s="53"/>
      <c r="C13" s="52" t="s">
        <v>34</v>
      </c>
      <c r="D13" s="54" t="s">
        <v>35</v>
      </c>
      <c r="E13" s="57"/>
      <c r="F13" s="55"/>
      <c r="G13" s="55"/>
      <c r="H13" s="56"/>
      <c r="I13" s="56"/>
      <c r="J13" s="55"/>
      <c r="K13" s="55"/>
      <c r="L13" s="56"/>
      <c r="M13" s="56"/>
      <c r="N13" s="55"/>
      <c r="O13" s="55"/>
      <c r="P13" s="56"/>
      <c r="Q13" s="56"/>
      <c r="R13" s="55"/>
      <c r="S13" s="55"/>
      <c r="T13" s="56"/>
      <c r="U13" s="56"/>
      <c r="V13" s="55"/>
      <c r="W13" s="55"/>
      <c r="X13" s="56"/>
      <c r="Y13" s="56"/>
      <c r="Z13" s="57"/>
      <c r="AA13" s="55"/>
      <c r="AB13" s="56"/>
      <c r="AC13" s="56"/>
      <c r="AD13" s="55"/>
      <c r="AE13" s="55"/>
      <c r="AF13" s="56"/>
      <c r="AG13" s="58"/>
      <c r="AH13" s="55"/>
      <c r="AI13" s="55"/>
      <c r="AJ13" s="29">
        <f>COUNTIF(E14:AI14, "&lt;&gt;0")</f>
        <v>0</v>
      </c>
      <c r="AK13" s="29">
        <f>SUM(E14:AI14)</f>
        <v>0</v>
      </c>
      <c r="AL13" s="59">
        <f>+AK13-$AN$5</f>
        <v>-168</v>
      </c>
      <c r="AM13" s="60" t="s">
        <v>40</v>
      </c>
      <c r="AN13" s="9"/>
      <c r="AO13" s="61"/>
      <c r="AP13" s="62" t="s">
        <v>39</v>
      </c>
      <c r="AQ13" s="63">
        <v>8.0</v>
      </c>
      <c r="AR13" s="63">
        <v>77.0</v>
      </c>
      <c r="AS13" s="63">
        <v>25.0</v>
      </c>
      <c r="AT13" s="63">
        <v>11.0</v>
      </c>
      <c r="AU13" s="63">
        <f t="shared" si="1"/>
        <v>121</v>
      </c>
      <c r="AV13" s="64">
        <f>$AV$6 + AU14</f>
        <v>3290909.091</v>
      </c>
      <c r="AW13" s="65"/>
    </row>
    <row r="14" ht="21.0" customHeight="1">
      <c r="A14" s="24"/>
      <c r="B14" s="24"/>
      <c r="C14" s="24"/>
      <c r="D14" s="24"/>
      <c r="E14" s="57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8"/>
      <c r="AA14" s="56"/>
      <c r="AB14" s="56"/>
      <c r="AC14" s="56"/>
      <c r="AD14" s="56"/>
      <c r="AE14" s="56"/>
      <c r="AF14" s="56"/>
      <c r="AG14" s="58"/>
      <c r="AH14" s="56"/>
      <c r="AI14" s="56"/>
      <c r="AJ14" s="24"/>
      <c r="AK14" s="24"/>
      <c r="AL14" s="66"/>
      <c r="AM14" s="13"/>
      <c r="AN14" s="14"/>
      <c r="AO14" s="61"/>
      <c r="AP14" s="24"/>
      <c r="AQ14" s="67">
        <f>AQ13 * 1.25 * ($AV$6 / 220)</f>
        <v>113636.3636</v>
      </c>
      <c r="AR14" s="67">
        <f>AR13 * 0.35 * ($AV$6 / 220)</f>
        <v>306250</v>
      </c>
      <c r="AS14" s="67">
        <f>AS13 * 0.8 * ($AV$6 / 220)</f>
        <v>227272.7273</v>
      </c>
      <c r="AT14" s="67">
        <f>AT13 * 1.15 * ($AV$6 / 220)</f>
        <v>143750</v>
      </c>
      <c r="AU14" s="67">
        <f t="shared" si="1"/>
        <v>790909.0909</v>
      </c>
      <c r="AV14" s="24"/>
      <c r="AW14" s="65"/>
    </row>
    <row r="15" ht="21.0" customHeight="1">
      <c r="A15" s="52" t="s">
        <v>41</v>
      </c>
      <c r="B15" s="53"/>
      <c r="C15" s="52" t="s">
        <v>34</v>
      </c>
      <c r="D15" s="54" t="s">
        <v>42</v>
      </c>
      <c r="E15" s="57"/>
      <c r="F15" s="55"/>
      <c r="G15" s="56"/>
      <c r="H15" s="56"/>
      <c r="I15" s="55"/>
      <c r="J15" s="55"/>
      <c r="K15" s="56"/>
      <c r="L15" s="58"/>
      <c r="M15" s="55"/>
      <c r="N15" s="55"/>
      <c r="O15" s="56"/>
      <c r="P15" s="56"/>
      <c r="Q15" s="55"/>
      <c r="R15" s="55"/>
      <c r="S15" s="56"/>
      <c r="T15" s="56"/>
      <c r="U15" s="55"/>
      <c r="V15" s="55"/>
      <c r="W15" s="56"/>
      <c r="X15" s="56"/>
      <c r="Y15" s="55"/>
      <c r="Z15" s="55"/>
      <c r="AA15" s="56"/>
      <c r="AB15" s="56"/>
      <c r="AC15" s="55"/>
      <c r="AD15" s="55"/>
      <c r="AE15" s="56"/>
      <c r="AF15" s="56"/>
      <c r="AG15" s="57"/>
      <c r="AH15" s="55"/>
      <c r="AI15" s="68"/>
      <c r="AJ15" s="29">
        <f>COUNTIF(E16:AI16, "&lt;&gt;0")</f>
        <v>0</v>
      </c>
      <c r="AK15" s="29">
        <f>SUM(E16:AI16)</f>
        <v>0</v>
      </c>
      <c r="AL15" s="59">
        <f>+AK15-$AN$5</f>
        <v>-168</v>
      </c>
      <c r="AM15" s="60" t="s">
        <v>43</v>
      </c>
      <c r="AN15" s="9"/>
      <c r="AO15" s="61"/>
      <c r="AP15" s="62" t="s">
        <v>41</v>
      </c>
      <c r="AQ15" s="69">
        <v>8.0</v>
      </c>
      <c r="AR15" s="69">
        <v>66.0</v>
      </c>
      <c r="AS15" s="69">
        <v>14.0</v>
      </c>
      <c r="AT15" s="69">
        <v>22.0</v>
      </c>
      <c r="AU15" s="63">
        <f t="shared" si="1"/>
        <v>110</v>
      </c>
      <c r="AV15" s="64">
        <f>$AV$6 + AU16</f>
        <v>3290909.091</v>
      </c>
      <c r="AW15" s="65"/>
    </row>
    <row r="16" ht="21.0" customHeight="1">
      <c r="A16" s="24"/>
      <c r="B16" s="24"/>
      <c r="C16" s="24"/>
      <c r="D16" s="24"/>
      <c r="E16" s="58"/>
      <c r="F16" s="56"/>
      <c r="G16" s="56"/>
      <c r="H16" s="56"/>
      <c r="I16" s="56"/>
      <c r="J16" s="56"/>
      <c r="K16" s="56"/>
      <c r="L16" s="58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8"/>
      <c r="AH16" s="56"/>
      <c r="AI16" s="68"/>
      <c r="AJ16" s="24"/>
      <c r="AK16" s="24"/>
      <c r="AL16" s="66"/>
      <c r="AM16" s="13"/>
      <c r="AN16" s="14"/>
      <c r="AO16" s="61"/>
      <c r="AP16" s="24"/>
      <c r="AQ16" s="67">
        <f>AQ15 * 1.25 * ($AV$6 / 220)</f>
        <v>113636.3636</v>
      </c>
      <c r="AR16" s="67">
        <f>AR15 * 0.35 * ($AV$6 / 220)</f>
        <v>262500</v>
      </c>
      <c r="AS16" s="67">
        <f>AS15 * 0.8 * ($AV$6 / 220)</f>
        <v>127272.7273</v>
      </c>
      <c r="AT16" s="67">
        <f>AT15 * 1.15 * ($AV$6 / 220)</f>
        <v>287500</v>
      </c>
      <c r="AU16" s="67">
        <f t="shared" si="1"/>
        <v>790909.0909</v>
      </c>
      <c r="AV16" s="24"/>
      <c r="AW16" s="11"/>
    </row>
    <row r="17" ht="21.0" customHeight="1">
      <c r="A17" s="52" t="s">
        <v>44</v>
      </c>
      <c r="B17" s="53"/>
      <c r="C17" s="52" t="s">
        <v>34</v>
      </c>
      <c r="D17" s="54" t="s">
        <v>35</v>
      </c>
      <c r="E17" s="58"/>
      <c r="F17" s="56"/>
      <c r="G17" s="56"/>
      <c r="H17" s="56"/>
      <c r="I17" s="56"/>
      <c r="J17" s="56"/>
      <c r="K17" s="56"/>
      <c r="L17" s="58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8"/>
      <c r="AH17" s="56"/>
      <c r="AI17" s="70"/>
      <c r="AJ17" s="29">
        <f>COUNTIF(E18:AI18, "&lt;&gt;0")</f>
        <v>0</v>
      </c>
      <c r="AK17" s="29">
        <f>SUM(E18:AI18)</f>
        <v>0</v>
      </c>
      <c r="AL17" s="59">
        <f>+AK17-$AN$5</f>
        <v>-168</v>
      </c>
      <c r="AM17" s="60" t="s">
        <v>43</v>
      </c>
      <c r="AN17" s="9"/>
      <c r="AO17" s="61"/>
      <c r="AP17" s="71"/>
      <c r="AQ17" s="67"/>
      <c r="AR17" s="67"/>
      <c r="AS17" s="67"/>
      <c r="AT17" s="67"/>
      <c r="AU17" s="67"/>
      <c r="AV17" s="72"/>
      <c r="AW17" s="11"/>
    </row>
    <row r="18" ht="21.0" customHeight="1">
      <c r="A18" s="24"/>
      <c r="B18" s="24"/>
      <c r="C18" s="24"/>
      <c r="D18" s="24"/>
      <c r="E18" s="58"/>
      <c r="F18" s="56"/>
      <c r="G18" s="56"/>
      <c r="H18" s="56"/>
      <c r="I18" s="56"/>
      <c r="J18" s="56"/>
      <c r="K18" s="56"/>
      <c r="L18" s="58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8"/>
      <c r="AH18" s="56"/>
      <c r="AI18" s="70"/>
      <c r="AJ18" s="24"/>
      <c r="AK18" s="24"/>
      <c r="AL18" s="66"/>
      <c r="AM18" s="13"/>
      <c r="AN18" s="14"/>
      <c r="AO18" s="61"/>
      <c r="AP18" s="71"/>
      <c r="AQ18" s="67"/>
      <c r="AR18" s="67"/>
      <c r="AS18" s="67"/>
      <c r="AT18" s="67"/>
      <c r="AU18" s="67"/>
      <c r="AV18" s="72"/>
      <c r="AW18" s="11"/>
    </row>
    <row r="19" ht="21.0" customHeight="1">
      <c r="A19" s="52" t="s">
        <v>45</v>
      </c>
      <c r="B19" s="53"/>
      <c r="C19" s="52" t="s">
        <v>46</v>
      </c>
      <c r="D19" s="54" t="s">
        <v>42</v>
      </c>
      <c r="E19" s="56"/>
      <c r="F19" s="56"/>
      <c r="G19" s="56"/>
      <c r="H19" s="56"/>
      <c r="I19" s="56"/>
      <c r="J19" s="56"/>
      <c r="K19" s="56"/>
      <c r="L19" s="58"/>
      <c r="M19" s="56"/>
      <c r="N19" s="55"/>
      <c r="O19" s="55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8"/>
      <c r="AA19" s="56"/>
      <c r="AB19" s="55"/>
      <c r="AC19" s="55"/>
      <c r="AD19" s="56"/>
      <c r="AE19" s="56"/>
      <c r="AF19" s="56"/>
      <c r="AG19" s="56"/>
      <c r="AH19" s="56"/>
      <c r="AI19" s="56"/>
      <c r="AJ19" s="29">
        <f>COUNTIF(E20:AI20, "&lt;&gt;0")</f>
        <v>0</v>
      </c>
      <c r="AK19" s="29">
        <f>SUM(E20:AI20)</f>
        <v>0</v>
      </c>
      <c r="AL19" s="59">
        <f>+AK19-$AN$5</f>
        <v>-168</v>
      </c>
      <c r="AM19" s="73" t="s">
        <v>47</v>
      </c>
      <c r="AN19" s="9"/>
      <c r="AO19" s="61"/>
      <c r="AP19" s="74" t="s">
        <v>45</v>
      </c>
      <c r="AQ19" s="75">
        <v>6.0</v>
      </c>
      <c r="AR19" s="75">
        <v>0.0</v>
      </c>
      <c r="AS19" s="75">
        <v>6.0</v>
      </c>
      <c r="AT19" s="75">
        <v>0.0</v>
      </c>
      <c r="AU19" s="75">
        <f t="shared" ref="AU19:AU24" si="2">SUM(AQ19:AT19)</f>
        <v>12</v>
      </c>
      <c r="AV19" s="76">
        <f>$AU$6 + AU20</f>
        <v>2111818.182</v>
      </c>
      <c r="AW19" s="11"/>
    </row>
    <row r="20" ht="21.0" customHeight="1">
      <c r="A20" s="24"/>
      <c r="B20" s="24"/>
      <c r="C20" s="24"/>
      <c r="D20" s="24"/>
      <c r="E20" s="56"/>
      <c r="F20" s="56"/>
      <c r="G20" s="56"/>
      <c r="H20" s="56"/>
      <c r="I20" s="56"/>
      <c r="J20" s="56"/>
      <c r="K20" s="56"/>
      <c r="L20" s="58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8"/>
      <c r="AA20" s="56"/>
      <c r="AB20" s="56"/>
      <c r="AC20" s="56"/>
      <c r="AD20" s="56"/>
      <c r="AE20" s="56"/>
      <c r="AF20" s="56"/>
      <c r="AG20" s="56"/>
      <c r="AH20" s="56"/>
      <c r="AI20" s="56"/>
      <c r="AJ20" s="24"/>
      <c r="AK20" s="24"/>
      <c r="AL20" s="66"/>
      <c r="AM20" s="13"/>
      <c r="AN20" s="14"/>
      <c r="AO20" s="61"/>
      <c r="AP20" s="24"/>
      <c r="AQ20" s="77">
        <f>AQ19 * 1.25 * ($AU$6 / 220)</f>
        <v>68181.81818</v>
      </c>
      <c r="AR20" s="77">
        <f>AR19 * 0.35 * ($AU$6 / 220)</f>
        <v>0</v>
      </c>
      <c r="AS20" s="77">
        <f>AS19 * 0.8 * ($AU$6 / 220)</f>
        <v>43636.36364</v>
      </c>
      <c r="AT20" s="77">
        <f>AT19 * 1.15 * ($AU$6 / 220)</f>
        <v>0</v>
      </c>
      <c r="AU20" s="77">
        <f t="shared" si="2"/>
        <v>111818.1818</v>
      </c>
      <c r="AV20" s="24"/>
      <c r="AW20" s="6"/>
    </row>
    <row r="21" ht="21.0" customHeight="1">
      <c r="A21" s="52" t="s">
        <v>48</v>
      </c>
      <c r="B21" s="53"/>
      <c r="C21" s="52" t="s">
        <v>46</v>
      </c>
      <c r="D21" s="54" t="s">
        <v>42</v>
      </c>
      <c r="E21" s="57"/>
      <c r="F21" s="56"/>
      <c r="G21" s="55"/>
      <c r="H21" s="55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8"/>
      <c r="T21" s="56"/>
      <c r="U21" s="55"/>
      <c r="V21" s="55"/>
      <c r="W21" s="56"/>
      <c r="X21" s="56"/>
      <c r="Y21" s="56"/>
      <c r="Z21" s="56"/>
      <c r="AA21" s="58"/>
      <c r="AB21" s="56"/>
      <c r="AC21" s="56"/>
      <c r="AD21" s="56"/>
      <c r="AE21" s="56"/>
      <c r="AF21" s="56"/>
      <c r="AG21" s="58"/>
      <c r="AH21" s="56"/>
      <c r="AI21" s="55"/>
      <c r="AJ21" s="29">
        <f>COUNTIF(E22:AI22, "&lt;&gt;0")</f>
        <v>0</v>
      </c>
      <c r="AK21" s="29">
        <f>SUM(E22:AI22)</f>
        <v>0</v>
      </c>
      <c r="AL21" s="59">
        <f>+AK21-$AN$5</f>
        <v>-168</v>
      </c>
      <c r="AM21" s="73" t="s">
        <v>49</v>
      </c>
      <c r="AN21" s="9"/>
      <c r="AO21" s="61"/>
      <c r="AP21" s="74" t="s">
        <v>48</v>
      </c>
      <c r="AQ21" s="75">
        <v>3.0</v>
      </c>
      <c r="AR21" s="75">
        <v>0.0</v>
      </c>
      <c r="AS21" s="75">
        <v>12.0</v>
      </c>
      <c r="AT21" s="75">
        <v>0.0</v>
      </c>
      <c r="AU21" s="75">
        <f t="shared" si="2"/>
        <v>15</v>
      </c>
      <c r="AV21" s="76">
        <f>$AU$6 + AU22</f>
        <v>2121363.636</v>
      </c>
      <c r="AW21" s="6"/>
    </row>
    <row r="22" ht="21.0" customHeight="1">
      <c r="A22" s="24"/>
      <c r="B22" s="24"/>
      <c r="C22" s="24"/>
      <c r="D22" s="24"/>
      <c r="E22" s="58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8"/>
      <c r="T22" s="56"/>
      <c r="U22" s="56"/>
      <c r="V22" s="56"/>
      <c r="W22" s="56"/>
      <c r="X22" s="56"/>
      <c r="Y22" s="56"/>
      <c r="Z22" s="56"/>
      <c r="AA22" s="58"/>
      <c r="AB22" s="56"/>
      <c r="AC22" s="56"/>
      <c r="AD22" s="56"/>
      <c r="AE22" s="56"/>
      <c r="AF22" s="56"/>
      <c r="AG22" s="58"/>
      <c r="AH22" s="56"/>
      <c r="AI22" s="56"/>
      <c r="AJ22" s="24"/>
      <c r="AK22" s="24"/>
      <c r="AL22" s="66"/>
      <c r="AM22" s="13"/>
      <c r="AN22" s="14"/>
      <c r="AO22" s="61"/>
      <c r="AP22" s="24"/>
      <c r="AQ22" s="77">
        <f>AQ21 * 1.25 * ($AU$6 / 220)</f>
        <v>34090.90909</v>
      </c>
      <c r="AR22" s="77">
        <f>AR21 * 0.35 * ($AU$6 / 220)</f>
        <v>0</v>
      </c>
      <c r="AS22" s="77">
        <f>AS21 * 0.8 * ($AU$6 / 220)</f>
        <v>87272.72727</v>
      </c>
      <c r="AT22" s="77">
        <f>AT21 * 1.15 * ($AU$6 / 220)</f>
        <v>0</v>
      </c>
      <c r="AU22" s="77">
        <f t="shared" si="2"/>
        <v>121363.6364</v>
      </c>
      <c r="AV22" s="24"/>
      <c r="AW22" s="6"/>
    </row>
    <row r="23" ht="21.0" customHeight="1">
      <c r="A23" s="52" t="s">
        <v>50</v>
      </c>
      <c r="B23" s="53"/>
      <c r="C23" s="52" t="s">
        <v>51</v>
      </c>
      <c r="D23" s="54" t="s">
        <v>42</v>
      </c>
      <c r="E23" s="55"/>
      <c r="F23" s="56"/>
      <c r="G23" s="56"/>
      <c r="H23" s="55"/>
      <c r="I23" s="56"/>
      <c r="J23" s="56"/>
      <c r="K23" s="56"/>
      <c r="L23" s="56"/>
      <c r="M23" s="56"/>
      <c r="N23" s="56"/>
      <c r="O23" s="55"/>
      <c r="P23" s="55"/>
      <c r="Q23" s="56"/>
      <c r="R23" s="56"/>
      <c r="S23" s="56"/>
      <c r="T23" s="56"/>
      <c r="U23" s="56"/>
      <c r="V23" s="55"/>
      <c r="W23" s="56"/>
      <c r="X23" s="56"/>
      <c r="Y23" s="56"/>
      <c r="Z23" s="56"/>
      <c r="AA23" s="56"/>
      <c r="AB23" s="56"/>
      <c r="AC23" s="55"/>
      <c r="AD23" s="56"/>
      <c r="AE23" s="56"/>
      <c r="AF23" s="56"/>
      <c r="AG23" s="56"/>
      <c r="AH23" s="56"/>
      <c r="AI23" s="56"/>
      <c r="AJ23" s="29">
        <f>COUNTIF(E24:AI24, "&lt;&gt;0")</f>
        <v>0</v>
      </c>
      <c r="AK23" s="29">
        <f>SUM(E24:AI24)</f>
        <v>0</v>
      </c>
      <c r="AL23" s="59">
        <f>+AK23-$AN$5</f>
        <v>-168</v>
      </c>
      <c r="AM23" s="73" t="s">
        <v>52</v>
      </c>
      <c r="AN23" s="9"/>
      <c r="AO23" s="61"/>
      <c r="AP23" s="74" t="s">
        <v>50</v>
      </c>
      <c r="AQ23" s="75">
        <v>0.0</v>
      </c>
      <c r="AR23" s="75">
        <v>0.0</v>
      </c>
      <c r="AS23" s="75">
        <v>0.0</v>
      </c>
      <c r="AT23" s="75">
        <v>0.0</v>
      </c>
      <c r="AU23" s="75">
        <f t="shared" si="2"/>
        <v>0</v>
      </c>
      <c r="AV23" s="76">
        <f>$AU$6 + AU24</f>
        <v>2000000</v>
      </c>
      <c r="AW23" s="6"/>
    </row>
    <row r="24" ht="21.0" customHeight="1">
      <c r="A24" s="24"/>
      <c r="B24" s="24"/>
      <c r="C24" s="24"/>
      <c r="D24" s="24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24"/>
      <c r="AK24" s="24"/>
      <c r="AL24" s="24"/>
      <c r="AM24" s="13"/>
      <c r="AN24" s="14"/>
      <c r="AO24" s="61"/>
      <c r="AP24" s="24"/>
      <c r="AQ24" s="77">
        <f>AQ23 * 1.25 * ($AU$6 / 220)</f>
        <v>0</v>
      </c>
      <c r="AR24" s="77">
        <f>AR23 * 0.35 * ($AU$6 / 220)</f>
        <v>0</v>
      </c>
      <c r="AS24" s="77">
        <f>AS23 * 0.8 * ($AU$6 / 220)</f>
        <v>0</v>
      </c>
      <c r="AT24" s="77">
        <f>AT23 * 1.15 * ($AU$6 / 220)</f>
        <v>0</v>
      </c>
      <c r="AU24" s="77">
        <f t="shared" si="2"/>
        <v>0</v>
      </c>
      <c r="AV24" s="24"/>
      <c r="AW24" s="6"/>
    </row>
    <row r="25" ht="24.0" customHeight="1">
      <c r="A25" s="6"/>
      <c r="B25" s="6"/>
      <c r="C25" s="6"/>
      <c r="D25" s="6"/>
      <c r="E25" s="6"/>
      <c r="F25" s="6"/>
      <c r="G25" s="78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79"/>
      <c r="W25" s="80"/>
      <c r="X25" s="81"/>
      <c r="Y25" s="6"/>
      <c r="Z25" s="6"/>
      <c r="AA25" s="6"/>
      <c r="AB25" s="6"/>
      <c r="AC25" s="6"/>
      <c r="AD25" s="6"/>
      <c r="AE25" s="6"/>
      <c r="AF25" s="6"/>
      <c r="AG25" s="82" t="s">
        <v>53</v>
      </c>
      <c r="AH25" s="8"/>
      <c r="AI25" s="8"/>
      <c r="AJ25" s="83">
        <f t="shared" ref="AJ25:AL25" si="3">SUM(AJ9:AJ24)</f>
        <v>0</v>
      </c>
      <c r="AK25" s="83">
        <f t="shared" si="3"/>
        <v>0</v>
      </c>
      <c r="AL25" s="84">
        <f t="shared" si="3"/>
        <v>-1344</v>
      </c>
      <c r="AM25" s="85" t="s">
        <v>54</v>
      </c>
      <c r="AN25" s="9"/>
      <c r="AO25" s="6"/>
      <c r="AP25" s="86" t="s">
        <v>53</v>
      </c>
      <c r="AQ25" s="87">
        <f t="shared" ref="AQ25:AV25" si="4">AQ9+AQ11+AQ13+AQ15+AQ19+AQ21+AQ23</f>
        <v>41</v>
      </c>
      <c r="AR25" s="87">
        <f t="shared" si="4"/>
        <v>275</v>
      </c>
      <c r="AS25" s="87">
        <f t="shared" si="4"/>
        <v>96</v>
      </c>
      <c r="AT25" s="87">
        <f t="shared" si="4"/>
        <v>66</v>
      </c>
      <c r="AU25" s="88">
        <f t="shared" si="4"/>
        <v>478</v>
      </c>
      <c r="AV25" s="89">
        <f t="shared" si="4"/>
        <v>19353068.18</v>
      </c>
      <c r="AW25" s="6"/>
    </row>
    <row r="26" ht="24.0" customHeight="1">
      <c r="A26" s="6"/>
      <c r="B26" s="6"/>
      <c r="C26" s="6"/>
      <c r="D26" s="90"/>
      <c r="E26" s="90"/>
      <c r="F26" s="91"/>
      <c r="G26" s="92"/>
      <c r="H26" s="61"/>
      <c r="I26" s="61"/>
      <c r="J26" s="61"/>
      <c r="K26" s="93"/>
      <c r="L26" s="94"/>
      <c r="M26" s="94"/>
      <c r="N26" s="94"/>
      <c r="O26" s="94"/>
      <c r="P26" s="94"/>
      <c r="Q26" s="94"/>
      <c r="R26" s="94"/>
      <c r="S26" s="95"/>
      <c r="T26" s="94"/>
      <c r="U26" s="94"/>
      <c r="V26" s="94"/>
      <c r="W26" s="94"/>
      <c r="X26" s="94"/>
      <c r="Y26" s="94"/>
      <c r="Z26" s="94"/>
      <c r="AA26" s="95"/>
      <c r="AB26" s="94"/>
      <c r="AC26" s="94"/>
      <c r="AD26" s="94"/>
      <c r="AE26" s="6"/>
      <c r="AF26" s="6"/>
      <c r="AG26" s="13"/>
      <c r="AH26" s="12"/>
      <c r="AI26" s="12"/>
      <c r="AJ26" s="24"/>
      <c r="AK26" s="24"/>
      <c r="AL26" s="24"/>
      <c r="AM26" s="13"/>
      <c r="AN26" s="14"/>
      <c r="AO26" s="6"/>
      <c r="AP26" s="24"/>
      <c r="AQ26" s="96">
        <f t="shared" ref="AQ26:AU26" si="5">AQ10+AQ12+AQ14+AQ16+AQ20+AQ22+AQ24</f>
        <v>556818.1818</v>
      </c>
      <c r="AR26" s="96">
        <f t="shared" si="5"/>
        <v>1093750</v>
      </c>
      <c r="AS26" s="96">
        <f t="shared" si="5"/>
        <v>840000</v>
      </c>
      <c r="AT26" s="96">
        <f t="shared" si="5"/>
        <v>862500</v>
      </c>
      <c r="AU26" s="97">
        <f t="shared" si="5"/>
        <v>3353068.182</v>
      </c>
      <c r="AV26" s="24"/>
      <c r="AW26" s="6"/>
    </row>
    <row r="27">
      <c r="A27" s="11"/>
      <c r="B27" s="98"/>
      <c r="C27" s="98"/>
      <c r="D27" s="98"/>
      <c r="E27" s="98"/>
      <c r="F27" s="98"/>
      <c r="G27" s="6"/>
      <c r="H27" s="6"/>
      <c r="I27" s="99"/>
      <c r="J27" s="6"/>
      <c r="K27" s="99"/>
      <c r="L27" s="100"/>
      <c r="M27" s="79"/>
      <c r="N27" s="79"/>
      <c r="O27" s="79"/>
      <c r="P27" s="79"/>
      <c r="Q27" s="94"/>
      <c r="R27" s="94"/>
      <c r="S27" s="95"/>
      <c r="T27" s="94"/>
      <c r="U27" s="94"/>
      <c r="V27" s="94"/>
      <c r="W27" s="94"/>
      <c r="X27" s="94"/>
      <c r="Y27" s="94"/>
      <c r="Z27" s="94"/>
      <c r="AA27" s="95"/>
      <c r="AB27" s="94"/>
      <c r="AC27" s="94"/>
      <c r="AD27" s="94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</row>
    <row r="28">
      <c r="A28" s="11"/>
      <c r="B28" s="98"/>
      <c r="C28" s="98"/>
      <c r="D28" s="98"/>
      <c r="E28" s="98"/>
      <c r="F28" s="98"/>
      <c r="G28" s="6"/>
      <c r="H28" s="6"/>
      <c r="I28" s="6"/>
      <c r="J28" s="6"/>
      <c r="K28" s="6"/>
      <c r="L28" s="11"/>
      <c r="M28" s="6"/>
      <c r="N28" s="6"/>
      <c r="O28" s="6"/>
      <c r="P28" s="6"/>
      <c r="Q28" s="101"/>
      <c r="R28" s="94"/>
      <c r="S28" s="95"/>
      <c r="T28" s="94"/>
      <c r="U28" s="6"/>
      <c r="V28" s="6"/>
      <c r="W28" s="6"/>
      <c r="X28" s="6"/>
      <c r="Y28" s="6"/>
      <c r="Z28" s="6"/>
      <c r="AA28" s="11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</row>
    <row r="29">
      <c r="A29" s="11"/>
      <c r="B29" s="98"/>
      <c r="C29" s="98"/>
      <c r="D29" s="98"/>
      <c r="E29" s="98"/>
      <c r="F29" s="98"/>
      <c r="G29" s="6"/>
      <c r="H29" s="6"/>
      <c r="I29" s="6"/>
      <c r="J29" s="6"/>
      <c r="K29" s="6"/>
      <c r="L29" s="11"/>
      <c r="M29" s="6"/>
      <c r="N29" s="6"/>
      <c r="O29" s="6"/>
      <c r="P29" s="6"/>
      <c r="Q29" s="101"/>
      <c r="R29" s="94"/>
      <c r="S29" s="95"/>
      <c r="T29" s="94"/>
      <c r="U29" s="6"/>
      <c r="V29" s="6"/>
      <c r="W29" s="6"/>
      <c r="X29" s="6"/>
      <c r="Y29" s="6"/>
      <c r="Z29" s="6"/>
      <c r="AA29" s="11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</row>
    <row r="30">
      <c r="A30" s="11"/>
      <c r="B30" s="102"/>
      <c r="C30" s="9"/>
      <c r="D30" s="98"/>
      <c r="E30" s="98"/>
      <c r="F30" s="103"/>
      <c r="G30" s="8"/>
      <c r="H30" s="8"/>
      <c r="I30" s="8"/>
      <c r="J30" s="8"/>
      <c r="K30" s="8"/>
      <c r="L30" s="8"/>
      <c r="M30" s="8"/>
      <c r="N30" s="8"/>
      <c r="O30" s="8"/>
      <c r="P30" s="9"/>
      <c r="Q30" s="101"/>
      <c r="R30" s="94"/>
      <c r="S30" s="95"/>
      <c r="T30" s="93"/>
      <c r="U30" s="103"/>
      <c r="V30" s="8"/>
      <c r="W30" s="8"/>
      <c r="X30" s="8"/>
      <c r="Y30" s="8"/>
      <c r="Z30" s="8"/>
      <c r="AA30" s="8"/>
      <c r="AB30" s="8"/>
      <c r="AC30" s="8"/>
      <c r="AD30" s="8"/>
      <c r="AE30" s="9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</row>
    <row r="31">
      <c r="A31" s="11"/>
      <c r="B31" s="23"/>
      <c r="C31" s="18"/>
      <c r="D31" s="98"/>
      <c r="E31" s="98"/>
      <c r="F31" s="23"/>
      <c r="P31" s="18"/>
      <c r="Q31" s="101"/>
      <c r="R31" s="94"/>
      <c r="S31" s="95"/>
      <c r="T31" s="93"/>
      <c r="U31" s="23"/>
      <c r="AE31" s="18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</row>
    <row r="32">
      <c r="A32" s="11"/>
      <c r="B32" s="23"/>
      <c r="C32" s="18"/>
      <c r="D32" s="98"/>
      <c r="E32" s="98"/>
      <c r="F32" s="23"/>
      <c r="P32" s="18"/>
      <c r="Q32" s="101"/>
      <c r="R32" s="94"/>
      <c r="S32" s="95"/>
      <c r="T32" s="93"/>
      <c r="U32" s="23"/>
      <c r="AE32" s="18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</row>
    <row r="33">
      <c r="A33" s="98"/>
      <c r="B33" s="13"/>
      <c r="C33" s="14"/>
      <c r="D33" s="98"/>
      <c r="E33" s="98"/>
      <c r="F33" s="13"/>
      <c r="G33" s="12"/>
      <c r="H33" s="12"/>
      <c r="I33" s="12"/>
      <c r="J33" s="12"/>
      <c r="K33" s="12"/>
      <c r="L33" s="12"/>
      <c r="M33" s="12"/>
      <c r="N33" s="12"/>
      <c r="O33" s="12"/>
      <c r="P33" s="14"/>
      <c r="Q33" s="101"/>
      <c r="R33" s="94"/>
      <c r="S33" s="95"/>
      <c r="T33" s="93"/>
      <c r="U33" s="13"/>
      <c r="V33" s="12"/>
      <c r="W33" s="12"/>
      <c r="X33" s="12"/>
      <c r="Y33" s="12"/>
      <c r="Z33" s="12"/>
      <c r="AA33" s="12"/>
      <c r="AB33" s="12"/>
      <c r="AC33" s="12"/>
      <c r="AD33" s="12"/>
      <c r="AE33" s="14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</row>
    <row r="34">
      <c r="A34" s="11"/>
      <c r="B34" s="104" t="s">
        <v>55</v>
      </c>
      <c r="C34" s="4"/>
      <c r="D34" s="98"/>
      <c r="E34" s="98"/>
      <c r="F34" s="104" t="s">
        <v>56</v>
      </c>
      <c r="G34" s="3"/>
      <c r="H34" s="3"/>
      <c r="I34" s="3"/>
      <c r="J34" s="3"/>
      <c r="K34" s="3"/>
      <c r="L34" s="3"/>
      <c r="M34" s="3"/>
      <c r="N34" s="3"/>
      <c r="O34" s="3"/>
      <c r="P34" s="4"/>
      <c r="Q34" s="101"/>
      <c r="R34" s="94"/>
      <c r="S34" s="95"/>
      <c r="T34" s="93"/>
      <c r="U34" s="104" t="s">
        <v>57</v>
      </c>
      <c r="V34" s="3"/>
      <c r="W34" s="3"/>
      <c r="X34" s="3"/>
      <c r="Y34" s="3"/>
      <c r="Z34" s="3"/>
      <c r="AA34" s="3"/>
      <c r="AB34" s="3"/>
      <c r="AC34" s="3"/>
      <c r="AD34" s="3"/>
      <c r="AE34" s="4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</row>
    <row r="35">
      <c r="A35" s="11"/>
      <c r="B35" s="105" t="s">
        <v>58</v>
      </c>
      <c r="C35" s="9"/>
      <c r="D35" s="98"/>
      <c r="E35" s="98"/>
      <c r="F35" s="102"/>
      <c r="G35" s="8"/>
      <c r="H35" s="8"/>
      <c r="I35" s="8"/>
      <c r="J35" s="8"/>
      <c r="K35" s="8"/>
      <c r="L35" s="8"/>
      <c r="M35" s="8"/>
      <c r="N35" s="8"/>
      <c r="O35" s="8"/>
      <c r="P35" s="9"/>
      <c r="Q35" s="101"/>
      <c r="R35" s="94"/>
      <c r="S35" s="95"/>
      <c r="T35" s="106"/>
      <c r="U35" s="107" t="s">
        <v>59</v>
      </c>
      <c r="V35" s="8"/>
      <c r="W35" s="8"/>
      <c r="X35" s="8"/>
      <c r="Y35" s="8"/>
      <c r="Z35" s="8"/>
      <c r="AA35" s="8"/>
      <c r="AB35" s="8"/>
      <c r="AC35" s="8"/>
      <c r="AD35" s="8"/>
      <c r="AE35" s="9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</row>
    <row r="36">
      <c r="A36" s="6"/>
      <c r="B36" s="13"/>
      <c r="C36" s="14"/>
      <c r="D36" s="6"/>
      <c r="E36" s="6"/>
      <c r="F36" s="13"/>
      <c r="G36" s="12"/>
      <c r="H36" s="12"/>
      <c r="I36" s="12"/>
      <c r="J36" s="12"/>
      <c r="K36" s="12"/>
      <c r="L36" s="12"/>
      <c r="M36" s="12"/>
      <c r="N36" s="12"/>
      <c r="O36" s="12"/>
      <c r="P36" s="14"/>
      <c r="Q36" s="108"/>
      <c r="R36" s="94"/>
      <c r="S36" s="94"/>
      <c r="T36" s="94"/>
      <c r="U36" s="13"/>
      <c r="V36" s="12"/>
      <c r="W36" s="12"/>
      <c r="X36" s="12"/>
      <c r="Y36" s="12"/>
      <c r="Z36" s="12"/>
      <c r="AA36" s="12"/>
      <c r="AB36" s="12"/>
      <c r="AC36" s="12"/>
      <c r="AD36" s="12"/>
      <c r="AE36" s="14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</row>
    <row r="37">
      <c r="A37" s="6"/>
      <c r="B37" s="6"/>
      <c r="C37" s="6"/>
      <c r="D37" s="6"/>
      <c r="E37" s="6"/>
      <c r="F37" s="6"/>
      <c r="G37" s="79"/>
      <c r="H37" s="106"/>
      <c r="I37" s="109"/>
      <c r="J37" s="106"/>
      <c r="K37" s="110"/>
      <c r="L37" s="109"/>
      <c r="M37" s="109"/>
      <c r="N37" s="109"/>
      <c r="O37" s="109"/>
      <c r="P37" s="109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94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</row>
    <row r="38">
      <c r="A38" s="111" t="s">
        <v>60</v>
      </c>
      <c r="B38" s="112"/>
      <c r="C38" s="113" t="s">
        <v>61</v>
      </c>
      <c r="D38" s="4"/>
      <c r="E38" s="6"/>
      <c r="F38" s="6"/>
      <c r="G38" s="6"/>
      <c r="H38" s="6"/>
      <c r="I38" s="6"/>
      <c r="J38" s="6"/>
      <c r="K38" s="6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</row>
    <row r="39">
      <c r="A39" s="114" t="s">
        <v>62</v>
      </c>
      <c r="B39" s="112"/>
      <c r="C39" s="113" t="s">
        <v>63</v>
      </c>
      <c r="D39" s="4"/>
      <c r="E39" s="6"/>
      <c r="F39" s="6"/>
      <c r="G39" s="6"/>
      <c r="H39" s="6"/>
      <c r="I39" s="6"/>
      <c r="J39" s="6"/>
      <c r="K39" s="6"/>
      <c r="L39" s="94"/>
      <c r="M39" s="94"/>
      <c r="N39" s="94"/>
      <c r="O39" s="94"/>
      <c r="P39" s="94"/>
      <c r="Q39" s="94"/>
      <c r="R39" s="94"/>
      <c r="S39" s="94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</row>
    <row r="40">
      <c r="A40" s="114" t="s">
        <v>64</v>
      </c>
      <c r="B40" s="112"/>
      <c r="C40" s="113" t="s">
        <v>65</v>
      </c>
      <c r="D40" s="4"/>
      <c r="E40" s="6"/>
      <c r="F40" s="6"/>
      <c r="G40" s="6"/>
      <c r="H40" s="6"/>
      <c r="I40" s="6"/>
      <c r="J40" s="6"/>
      <c r="K40" s="6"/>
      <c r="L40" s="110"/>
      <c r="M40" s="101"/>
      <c r="N40" s="106"/>
      <c r="O40" s="110"/>
      <c r="P40" s="106"/>
      <c r="Q40" s="106"/>
      <c r="R40" s="106"/>
      <c r="S40" s="106"/>
      <c r="T40" s="93"/>
      <c r="U40" s="61"/>
      <c r="V40" s="61"/>
      <c r="W40" s="61"/>
      <c r="X40" s="61"/>
      <c r="Y40" s="61"/>
      <c r="Z40" s="61"/>
      <c r="AA40" s="61"/>
      <c r="AB40" s="61"/>
      <c r="AC40" s="61"/>
      <c r="AD40" s="108"/>
      <c r="AE40" s="61"/>
      <c r="AF40" s="61"/>
      <c r="AG40" s="61"/>
      <c r="AH40" s="61"/>
      <c r="AI40" s="61"/>
      <c r="AJ40" s="61"/>
      <c r="AK40" s="61"/>
      <c r="AL40" s="108"/>
      <c r="AM40" s="106"/>
      <c r="AN40" s="6"/>
      <c r="AO40" s="6"/>
      <c r="AP40" s="6"/>
      <c r="AQ40" s="6"/>
      <c r="AR40" s="6"/>
      <c r="AS40" s="6"/>
      <c r="AT40" s="6"/>
      <c r="AU40" s="6"/>
      <c r="AV40" s="6"/>
      <c r="AW40" s="6"/>
    </row>
    <row r="41">
      <c r="A41" s="114" t="s">
        <v>66</v>
      </c>
      <c r="B41" s="112"/>
      <c r="C41" s="115" t="s">
        <v>67</v>
      </c>
      <c r="D41" s="4"/>
      <c r="E41" s="6"/>
      <c r="F41" s="6"/>
      <c r="G41" s="6"/>
      <c r="H41" s="6"/>
      <c r="I41" s="6"/>
      <c r="J41" s="6"/>
      <c r="K41" s="6"/>
      <c r="L41" s="6"/>
      <c r="M41" s="98"/>
      <c r="N41" s="6"/>
      <c r="O41" s="110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  <c r="AB41" s="106"/>
      <c r="AC41" s="106"/>
      <c r="AD41" s="101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</row>
    <row r="42">
      <c r="A42" s="114" t="s">
        <v>68</v>
      </c>
      <c r="B42" s="112"/>
      <c r="C42" s="116" t="s">
        <v>69</v>
      </c>
      <c r="D42" s="4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</row>
    <row r="43">
      <c r="A43" s="114" t="s">
        <v>70</v>
      </c>
      <c r="B43" s="112"/>
      <c r="C43" s="113" t="s">
        <v>71</v>
      </c>
      <c r="D43" s="4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</row>
    <row r="44">
      <c r="A44" s="117" t="s">
        <v>72</v>
      </c>
      <c r="B44" s="112"/>
      <c r="C44" s="118" t="s">
        <v>73</v>
      </c>
      <c r="D44" s="4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</row>
    <row r="45">
      <c r="A45" s="119" t="s">
        <v>74</v>
      </c>
      <c r="B45" s="112"/>
      <c r="C45" s="113" t="s">
        <v>75</v>
      </c>
      <c r="D45" s="4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</row>
    <row r="46">
      <c r="A46" s="120" t="s">
        <v>76</v>
      </c>
      <c r="B46" s="112"/>
      <c r="C46" s="113" t="s">
        <v>77</v>
      </c>
      <c r="D46" s="4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121"/>
      <c r="AV46" s="6"/>
      <c r="AW46" s="6"/>
    </row>
    <row r="47">
      <c r="A47" s="122" t="s">
        <v>78</v>
      </c>
      <c r="B47" s="112"/>
      <c r="C47" s="113" t="s">
        <v>79</v>
      </c>
      <c r="D47" s="4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121"/>
      <c r="AV47" s="6"/>
      <c r="AW47" s="6"/>
    </row>
    <row r="48">
      <c r="A48" s="123"/>
      <c r="B48" s="123"/>
      <c r="C48" s="123"/>
      <c r="D48" s="123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6"/>
      <c r="AQ48" s="6"/>
      <c r="AR48" s="6"/>
      <c r="AS48" s="6"/>
      <c r="AT48" s="6"/>
      <c r="AU48" s="121"/>
      <c r="AV48" s="6"/>
      <c r="AW48" s="121"/>
    </row>
    <row r="49">
      <c r="A49" s="123"/>
      <c r="B49" s="123"/>
      <c r="C49" s="123"/>
      <c r="D49" s="123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6"/>
      <c r="AQ49" s="6"/>
      <c r="AR49" s="6"/>
      <c r="AS49" s="6"/>
      <c r="AT49" s="6"/>
      <c r="AU49" s="121"/>
      <c r="AV49" s="6"/>
      <c r="AW49" s="121"/>
    </row>
    <row r="50">
      <c r="A50" s="121"/>
      <c r="B50" s="121"/>
      <c r="C50" s="121"/>
      <c r="D50" s="121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6"/>
      <c r="AQ50" s="6"/>
      <c r="AR50" s="6"/>
      <c r="AS50" s="6"/>
      <c r="AT50" s="6"/>
      <c r="AU50" s="121"/>
      <c r="AV50" s="6"/>
      <c r="AW50" s="121"/>
    </row>
    <row r="51">
      <c r="A51" s="121"/>
      <c r="B51" s="121"/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6"/>
      <c r="AQ51" s="6"/>
      <c r="AR51" s="6"/>
      <c r="AS51" s="6"/>
      <c r="AT51" s="6"/>
      <c r="AV51" s="6"/>
      <c r="AW51" s="121"/>
    </row>
    <row r="52">
      <c r="A52" s="121"/>
      <c r="B52" s="121"/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6"/>
      <c r="AQ52" s="6"/>
      <c r="AR52" s="6"/>
      <c r="AS52" s="6"/>
      <c r="AT52" s="6"/>
      <c r="AV52" s="6"/>
      <c r="AW52" s="121"/>
    </row>
    <row r="53">
      <c r="A53" s="121"/>
      <c r="B53" s="121"/>
      <c r="C53" s="121"/>
      <c r="D53" s="121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6"/>
      <c r="AQ53" s="6"/>
      <c r="AR53" s="6"/>
      <c r="AS53" s="6"/>
      <c r="AT53" s="6"/>
      <c r="AV53" s="6"/>
      <c r="AW53" s="121"/>
    </row>
    <row r="54">
      <c r="A54" s="121"/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6"/>
      <c r="AQ54" s="6"/>
      <c r="AR54" s="6"/>
      <c r="AS54" s="6"/>
      <c r="AT54" s="6"/>
      <c r="AV54" s="6"/>
      <c r="AW54" s="121"/>
    </row>
    <row r="55">
      <c r="A55" s="121"/>
      <c r="B55" s="121"/>
      <c r="C55" s="121"/>
      <c r="D55" s="121"/>
      <c r="E55" s="121"/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V55" s="121"/>
      <c r="AW55" s="121"/>
    </row>
    <row r="56">
      <c r="A56" s="121"/>
      <c r="B56" s="121"/>
      <c r="C56" s="121"/>
      <c r="D56" s="121"/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V56" s="121"/>
      <c r="AW56" s="121"/>
    </row>
    <row r="57">
      <c r="A57" s="121"/>
      <c r="B57" s="121"/>
      <c r="C57" s="121"/>
      <c r="D57" s="121"/>
      <c r="E57" s="121"/>
      <c r="F57" s="121"/>
      <c r="G57" s="121"/>
      <c r="H57" s="121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V57" s="121"/>
      <c r="AW57" s="121"/>
    </row>
    <row r="58">
      <c r="A58" s="121"/>
      <c r="B58" s="121"/>
      <c r="C58" s="121"/>
      <c r="D58" s="121"/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  <c r="AK58" s="121"/>
      <c r="AL58" s="121"/>
      <c r="AM58" s="121"/>
      <c r="AN58" s="121"/>
      <c r="AO58" s="121"/>
      <c r="AP58" s="121"/>
      <c r="AQ58" s="121"/>
      <c r="AR58" s="121"/>
      <c r="AS58" s="121"/>
      <c r="AT58" s="121"/>
      <c r="AV58" s="121"/>
      <c r="AW58" s="121"/>
    </row>
    <row r="59">
      <c r="A59" s="121"/>
      <c r="B59" s="121"/>
      <c r="C59" s="121"/>
      <c r="D59" s="121"/>
      <c r="E59" s="121"/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  <c r="AL59" s="121"/>
      <c r="AM59" s="121"/>
      <c r="AN59" s="121"/>
      <c r="AO59" s="121"/>
      <c r="AP59" s="121"/>
      <c r="AQ59" s="121"/>
      <c r="AR59" s="121"/>
      <c r="AS59" s="121"/>
      <c r="AT59" s="121"/>
      <c r="AV59" s="121"/>
      <c r="AW59" s="121"/>
    </row>
  </sheetData>
  <mergeCells count="132">
    <mergeCell ref="AM7:AN8"/>
    <mergeCell ref="AP7:AP8"/>
    <mergeCell ref="AJ5:AM6"/>
    <mergeCell ref="AJ7:AJ8"/>
    <mergeCell ref="AK7:AK8"/>
    <mergeCell ref="AL7:AL8"/>
    <mergeCell ref="AK9:AK10"/>
    <mergeCell ref="AL9:AL10"/>
    <mergeCell ref="AM9:AN10"/>
    <mergeCell ref="AL13:AL14"/>
    <mergeCell ref="AM13:AN14"/>
    <mergeCell ref="AJ9:AJ10"/>
    <mergeCell ref="AJ11:AJ12"/>
    <mergeCell ref="AK11:AK12"/>
    <mergeCell ref="AL11:AL12"/>
    <mergeCell ref="AM11:AN12"/>
    <mergeCell ref="AJ13:AJ14"/>
    <mergeCell ref="AK13:AK14"/>
    <mergeCell ref="AP19:AP20"/>
    <mergeCell ref="AP21:AP22"/>
    <mergeCell ref="AP23:AP24"/>
    <mergeCell ref="AP25:AP26"/>
    <mergeCell ref="AV21:AV22"/>
    <mergeCell ref="AV23:AV24"/>
    <mergeCell ref="AV25:AV26"/>
    <mergeCell ref="AJ19:AJ20"/>
    <mergeCell ref="AK19:AK20"/>
    <mergeCell ref="AL19:AL20"/>
    <mergeCell ref="AM19:AN20"/>
    <mergeCell ref="AV19:AV20"/>
    <mergeCell ref="AJ21:AJ22"/>
    <mergeCell ref="AM21:AN22"/>
    <mergeCell ref="AJ25:AJ26"/>
    <mergeCell ref="AK25:AK26"/>
    <mergeCell ref="AL25:AL26"/>
    <mergeCell ref="AM25:AN26"/>
    <mergeCell ref="AK21:AK22"/>
    <mergeCell ref="AL21:AL22"/>
    <mergeCell ref="AJ23:AJ24"/>
    <mergeCell ref="AK23:AK24"/>
    <mergeCell ref="AL23:AL24"/>
    <mergeCell ref="AM23:AN24"/>
    <mergeCell ref="AG25:AI26"/>
    <mergeCell ref="B7:B8"/>
    <mergeCell ref="C7:C8"/>
    <mergeCell ref="A9:A10"/>
    <mergeCell ref="B9:B10"/>
    <mergeCell ref="C9:C10"/>
    <mergeCell ref="D9:D10"/>
    <mergeCell ref="D11:D12"/>
    <mergeCell ref="A11:A12"/>
    <mergeCell ref="A13:A14"/>
    <mergeCell ref="B13:B14"/>
    <mergeCell ref="C13:C14"/>
    <mergeCell ref="D13:D14"/>
    <mergeCell ref="A15:A16"/>
    <mergeCell ref="B15:B16"/>
    <mergeCell ref="A19:A20"/>
    <mergeCell ref="B19:B20"/>
    <mergeCell ref="C19:C20"/>
    <mergeCell ref="D19:D20"/>
    <mergeCell ref="B21:B22"/>
    <mergeCell ref="C21:C22"/>
    <mergeCell ref="D21:D22"/>
    <mergeCell ref="U30:AE33"/>
    <mergeCell ref="U34:AE34"/>
    <mergeCell ref="U35:AE36"/>
    <mergeCell ref="A21:A22"/>
    <mergeCell ref="A23:A24"/>
    <mergeCell ref="B23:B24"/>
    <mergeCell ref="C23:C24"/>
    <mergeCell ref="D23:D24"/>
    <mergeCell ref="F30:P33"/>
    <mergeCell ref="F34:P34"/>
    <mergeCell ref="F35:P36"/>
    <mergeCell ref="C42:D42"/>
    <mergeCell ref="C43:D43"/>
    <mergeCell ref="C44:D44"/>
    <mergeCell ref="C45:D45"/>
    <mergeCell ref="C46:D46"/>
    <mergeCell ref="C47:D47"/>
    <mergeCell ref="B30:C33"/>
    <mergeCell ref="B34:C34"/>
    <mergeCell ref="B35:C36"/>
    <mergeCell ref="C38:D38"/>
    <mergeCell ref="C39:D39"/>
    <mergeCell ref="C40:D40"/>
    <mergeCell ref="C41:D41"/>
    <mergeCell ref="A1:A4"/>
    <mergeCell ref="B1:AL1"/>
    <mergeCell ref="AM1:AN1"/>
    <mergeCell ref="B2:AL2"/>
    <mergeCell ref="AM2:AN2"/>
    <mergeCell ref="B3:AL4"/>
    <mergeCell ref="AM3:AN4"/>
    <mergeCell ref="AQ7:AQ8"/>
    <mergeCell ref="AR7:AR8"/>
    <mergeCell ref="AP9:AP10"/>
    <mergeCell ref="AP11:AP12"/>
    <mergeCell ref="AP13:AP14"/>
    <mergeCell ref="AS7:AS8"/>
    <mergeCell ref="AT7:AT8"/>
    <mergeCell ref="AU7:AU8"/>
    <mergeCell ref="AV7:AV8"/>
    <mergeCell ref="AV9:AV10"/>
    <mergeCell ref="AV11:AV12"/>
    <mergeCell ref="AV13:AV14"/>
    <mergeCell ref="AV15:AV16"/>
    <mergeCell ref="B5:D5"/>
    <mergeCell ref="E5:AI6"/>
    <mergeCell ref="AN5:AN6"/>
    <mergeCell ref="B6:D6"/>
    <mergeCell ref="AP6:AT6"/>
    <mergeCell ref="A7:A8"/>
    <mergeCell ref="D7:D8"/>
    <mergeCell ref="B11:B12"/>
    <mergeCell ref="C11:C12"/>
    <mergeCell ref="C15:C16"/>
    <mergeCell ref="D15:D16"/>
    <mergeCell ref="AJ15:AJ16"/>
    <mergeCell ref="AK15:AK16"/>
    <mergeCell ref="AL15:AL16"/>
    <mergeCell ref="AM15:AN16"/>
    <mergeCell ref="AP15:AP16"/>
    <mergeCell ref="A17:A18"/>
    <mergeCell ref="B17:B18"/>
    <mergeCell ref="C17:C18"/>
    <mergeCell ref="D17:D18"/>
    <mergeCell ref="AJ17:AJ18"/>
    <mergeCell ref="AK17:AK18"/>
    <mergeCell ref="AL17:AL18"/>
    <mergeCell ref="AM17:AN18"/>
  </mergeCells>
  <conditionalFormatting sqref="AL9:AL24">
    <cfRule type="cellIs" dxfId="0" priority="1" operator="greaterThan">
      <formula>0</formula>
    </cfRule>
  </conditionalFormatting>
  <conditionalFormatting sqref="AL9:AL24">
    <cfRule type="cellIs" dxfId="1" priority="2" operator="lessThan">
      <formula>0</formula>
    </cfRule>
  </conditionalFormatting>
  <conditionalFormatting sqref="E9:AI24">
    <cfRule type="containsText" dxfId="2" priority="3" operator="containsText" text="L">
      <formula>NOT(ISERROR(SEARCH(("L"),(E9))))</formula>
    </cfRule>
  </conditionalFormatting>
  <conditionalFormatting sqref="E9:AI24">
    <cfRule type="containsText" dxfId="2" priority="4" operator="containsText" text="0">
      <formula>NOT(ISERROR(SEARCH(("0"),(E9))))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